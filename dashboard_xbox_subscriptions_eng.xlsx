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tosParaComitarNoGitHub\dashboard_xbox_subscription\Files\"/>
    </mc:Choice>
  </mc:AlternateContent>
  <xr:revisionPtr revIDLastSave="0" documentId="13_ncr:1_{AC540972-19A2-40A7-B712-538304D40940}" xr6:coauthVersionLast="47" xr6:coauthVersionMax="47" xr10:uidLastSave="{00000000-0000-0000-0000-000000000000}"/>
  <bookViews>
    <workbookView xWindow="-120" yWindow="-120" windowWidth="29040" windowHeight="15840" activeTab="4" xr2:uid="{F158103D-3EF9-4220-8D91-6A4D7428EF98}"/>
  </bookViews>
  <sheets>
    <sheet name="Assets" sheetId="1" r:id="rId1"/>
    <sheet name="Bases" sheetId="2" r:id="rId2"/>
    <sheet name="Perguntas de Negócios" sheetId="5" r:id="rId3"/>
    <sheet name="Cálculos" sheetId="3" r:id="rId4"/>
    <sheet name="Dashboard" sheetId="4" r:id="rId5"/>
  </sheets>
  <definedNames>
    <definedName name="_xlnm._FilterDatabase" localSheetId="1" hidden="1">Bases!$A$1:$P$296</definedName>
    <definedName name="SegmentaçãodeDados_Subscription_Type">#N/A</definedName>
  </definedNames>
  <calcPr calcId="191029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28" i="3" l="1"/>
  <c r="M3" i="2" l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" i="2"/>
  <c r="N10" i="3"/>
  <c r="L21" i="3"/>
  <c r="C34" i="3"/>
  <c r="K14" i="3"/>
  <c r="D6" i="3"/>
  <c r="K13" i="3"/>
  <c r="D5" i="3"/>
  <c r="K12" i="3"/>
  <c r="K26" i="3"/>
  <c r="K25" i="3"/>
  <c r="G16" i="3"/>
  <c r="L20" i="3"/>
  <c r="N21" i="3"/>
  <c r="G18" i="3"/>
  <c r="L22" i="3"/>
  <c r="F3" i="3"/>
  <c r="N9" i="3"/>
  <c r="K24" i="3"/>
  <c r="G19" i="3"/>
  <c r="N22" i="3"/>
  <c r="AD11" i="4" l="1"/>
  <c r="G17" i="3"/>
  <c r="P296" i="2"/>
  <c r="P295" i="2"/>
  <c r="P294" i="2"/>
  <c r="P293" i="2"/>
  <c r="P292" i="2"/>
  <c r="P291" i="2"/>
  <c r="P290" i="2"/>
  <c r="P289" i="2"/>
  <c r="P288" i="2"/>
  <c r="P287" i="2"/>
  <c r="P286" i="2"/>
  <c r="P285" i="2"/>
  <c r="P284" i="2"/>
  <c r="P283" i="2"/>
  <c r="P282" i="2"/>
  <c r="P281" i="2"/>
  <c r="P280" i="2"/>
  <c r="P279" i="2"/>
  <c r="P278" i="2"/>
  <c r="P277" i="2"/>
  <c r="P276" i="2"/>
  <c r="P275" i="2"/>
  <c r="P274" i="2"/>
  <c r="P273" i="2"/>
  <c r="P272" i="2"/>
  <c r="P271" i="2"/>
  <c r="P270" i="2"/>
  <c r="P269" i="2"/>
  <c r="P268" i="2"/>
  <c r="P267" i="2"/>
  <c r="P266" i="2"/>
  <c r="P265" i="2"/>
  <c r="P264" i="2"/>
  <c r="P263" i="2"/>
  <c r="P262" i="2"/>
  <c r="P261" i="2"/>
  <c r="P260" i="2"/>
  <c r="P259" i="2"/>
  <c r="P258" i="2"/>
  <c r="P257" i="2"/>
  <c r="P256" i="2"/>
  <c r="P255" i="2"/>
  <c r="P254" i="2"/>
  <c r="P253" i="2"/>
  <c r="P252" i="2"/>
  <c r="P251" i="2"/>
  <c r="P250" i="2"/>
  <c r="P249" i="2"/>
  <c r="P248" i="2"/>
  <c r="P247" i="2"/>
  <c r="P246" i="2"/>
  <c r="P245" i="2"/>
  <c r="P244" i="2"/>
  <c r="P243" i="2"/>
  <c r="P242" i="2"/>
  <c r="P241" i="2"/>
  <c r="P240" i="2"/>
  <c r="P239" i="2"/>
  <c r="P238" i="2"/>
  <c r="P237" i="2"/>
  <c r="P236" i="2"/>
  <c r="P235" i="2"/>
  <c r="P234" i="2"/>
  <c r="P233" i="2"/>
  <c r="P232" i="2"/>
  <c r="P231" i="2"/>
  <c r="P230" i="2"/>
  <c r="P229" i="2"/>
  <c r="P228" i="2"/>
  <c r="P227" i="2"/>
  <c r="P226" i="2"/>
  <c r="P225" i="2"/>
  <c r="P224" i="2"/>
  <c r="P223" i="2"/>
  <c r="P222" i="2"/>
  <c r="P221" i="2"/>
  <c r="P220" i="2"/>
  <c r="P219" i="2"/>
  <c r="P218" i="2"/>
  <c r="P217" i="2"/>
  <c r="P216" i="2"/>
  <c r="P215" i="2"/>
  <c r="P214" i="2"/>
  <c r="P213" i="2"/>
  <c r="P212" i="2"/>
  <c r="P211" i="2"/>
  <c r="P210" i="2"/>
  <c r="P209" i="2"/>
  <c r="P208" i="2"/>
  <c r="P207" i="2"/>
  <c r="P206" i="2"/>
  <c r="P205" i="2"/>
  <c r="P204" i="2"/>
  <c r="P203" i="2"/>
  <c r="P202" i="2"/>
  <c r="P201" i="2"/>
  <c r="P200" i="2"/>
  <c r="P199" i="2"/>
  <c r="P198" i="2"/>
  <c r="P197" i="2"/>
  <c r="P196" i="2"/>
  <c r="P195" i="2"/>
  <c r="P194" i="2"/>
  <c r="P193" i="2"/>
  <c r="P192" i="2"/>
  <c r="P191" i="2"/>
  <c r="P190" i="2"/>
  <c r="P189" i="2"/>
  <c r="P188" i="2"/>
  <c r="P187" i="2"/>
  <c r="P186" i="2"/>
  <c r="P185" i="2"/>
  <c r="P184" i="2"/>
  <c r="P183" i="2"/>
  <c r="P182" i="2"/>
  <c r="P181" i="2"/>
  <c r="P180" i="2"/>
  <c r="P179" i="2"/>
  <c r="P178" i="2"/>
  <c r="P177" i="2"/>
  <c r="P176" i="2"/>
  <c r="P175" i="2"/>
  <c r="P174" i="2"/>
  <c r="P173" i="2"/>
  <c r="P172" i="2"/>
  <c r="P171" i="2"/>
  <c r="P170" i="2"/>
  <c r="P169" i="2"/>
  <c r="P168" i="2"/>
  <c r="P167" i="2"/>
  <c r="P166" i="2"/>
  <c r="P165" i="2"/>
  <c r="P164" i="2"/>
  <c r="P163" i="2"/>
  <c r="P162" i="2"/>
  <c r="P161" i="2"/>
  <c r="P160" i="2"/>
  <c r="P159" i="2"/>
  <c r="P158" i="2"/>
  <c r="P157" i="2"/>
  <c r="P156" i="2"/>
  <c r="P155" i="2"/>
  <c r="P154" i="2"/>
  <c r="P153" i="2"/>
  <c r="P152" i="2"/>
  <c r="P151" i="2"/>
  <c r="P150" i="2"/>
  <c r="P149" i="2"/>
  <c r="P148" i="2"/>
  <c r="P147" i="2"/>
  <c r="P146" i="2"/>
  <c r="P145" i="2"/>
  <c r="P144" i="2"/>
  <c r="P143" i="2"/>
  <c r="P142" i="2"/>
  <c r="P141" i="2"/>
  <c r="P140" i="2"/>
  <c r="P139" i="2"/>
  <c r="P138" i="2"/>
  <c r="P137" i="2"/>
  <c r="P136" i="2"/>
  <c r="P135" i="2"/>
  <c r="P134" i="2"/>
  <c r="P133" i="2"/>
  <c r="P132" i="2"/>
  <c r="P131" i="2"/>
  <c r="P130" i="2"/>
  <c r="P129" i="2"/>
  <c r="P128" i="2"/>
  <c r="P127" i="2"/>
  <c r="P126" i="2"/>
  <c r="P125" i="2"/>
  <c r="P124" i="2"/>
  <c r="P123" i="2"/>
  <c r="P122" i="2"/>
  <c r="P121" i="2"/>
  <c r="P120" i="2"/>
  <c r="P119" i="2"/>
  <c r="P118" i="2"/>
  <c r="P117" i="2"/>
  <c r="P116" i="2"/>
  <c r="P115" i="2"/>
  <c r="P114" i="2"/>
  <c r="P113" i="2"/>
  <c r="P112" i="2"/>
  <c r="P111" i="2"/>
  <c r="P110" i="2"/>
  <c r="P109" i="2"/>
  <c r="P108" i="2"/>
  <c r="P107" i="2"/>
  <c r="P106" i="2"/>
  <c r="P105" i="2"/>
  <c r="P104" i="2"/>
  <c r="P103" i="2"/>
  <c r="P102" i="2"/>
  <c r="P101" i="2"/>
  <c r="P100" i="2"/>
  <c r="P99" i="2"/>
  <c r="P98" i="2"/>
  <c r="P97" i="2"/>
  <c r="P96" i="2"/>
  <c r="P95" i="2"/>
  <c r="P94" i="2"/>
  <c r="P93" i="2"/>
  <c r="P92" i="2"/>
  <c r="P91" i="2"/>
  <c r="P90" i="2"/>
  <c r="P89" i="2"/>
  <c r="P88" i="2"/>
  <c r="P87" i="2"/>
  <c r="P86" i="2"/>
  <c r="P85" i="2"/>
  <c r="P84" i="2"/>
  <c r="P83" i="2"/>
  <c r="P82" i="2"/>
  <c r="P81" i="2"/>
  <c r="P80" i="2"/>
  <c r="P79" i="2"/>
  <c r="P78" i="2"/>
  <c r="P77" i="2"/>
  <c r="P76" i="2"/>
  <c r="P75" i="2"/>
  <c r="P74" i="2"/>
  <c r="P73" i="2"/>
  <c r="P72" i="2"/>
  <c r="P71" i="2"/>
  <c r="P70" i="2"/>
  <c r="P69" i="2"/>
  <c r="P68" i="2"/>
  <c r="P67" i="2"/>
  <c r="P66" i="2"/>
  <c r="P65" i="2"/>
  <c r="P64" i="2"/>
  <c r="P63" i="2"/>
  <c r="P62" i="2"/>
  <c r="P61" i="2"/>
  <c r="P60" i="2"/>
  <c r="P59" i="2"/>
  <c r="P58" i="2"/>
  <c r="P57" i="2"/>
  <c r="P56" i="2"/>
  <c r="P55" i="2"/>
  <c r="P54" i="2"/>
  <c r="P53" i="2"/>
  <c r="P52" i="2"/>
  <c r="P51" i="2"/>
  <c r="P50" i="2"/>
  <c r="P49" i="2"/>
  <c r="P48" i="2"/>
  <c r="P47" i="2"/>
  <c r="P46" i="2"/>
  <c r="P45" i="2"/>
  <c r="P44" i="2"/>
  <c r="P43" i="2"/>
  <c r="P42" i="2"/>
  <c r="P41" i="2"/>
  <c r="P40" i="2"/>
  <c r="P39" i="2"/>
  <c r="P38" i="2"/>
  <c r="P37" i="2"/>
  <c r="P36" i="2"/>
  <c r="P3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P4" i="2"/>
  <c r="P3" i="2"/>
  <c r="P2" i="2"/>
</calcChain>
</file>

<file path=xl/sharedStrings.xml><?xml version="1.0" encoding="utf-8"?>
<sst xmlns="http://schemas.openxmlformats.org/spreadsheetml/2006/main" count="2214" uniqueCount="368">
  <si>
    <t>PALETAS DE CORES</t>
  </si>
  <si>
    <t>XBOX GREEN</t>
  </si>
  <si>
    <t>#107C10</t>
  </si>
  <si>
    <t>XBOX LIGHT GREEN</t>
  </si>
  <si>
    <t>#16A34A</t>
  </si>
  <si>
    <t>XBOX DARK GREEN</t>
  </si>
  <si>
    <t>#0A2EOA</t>
  </si>
  <si>
    <t>XBOX BLACK</t>
  </si>
  <si>
    <t>#0D0D0D</t>
  </si>
  <si>
    <t>DARK GRAY</t>
  </si>
  <si>
    <t>#1A1A1A</t>
  </si>
  <si>
    <t>MEDIUM GRAY</t>
  </si>
  <si>
    <t>#333333</t>
  </si>
  <si>
    <t>LIGHT GRAY</t>
  </si>
  <si>
    <t>#E5E5E5</t>
  </si>
  <si>
    <t>WHITE</t>
  </si>
  <si>
    <t>#FFFFFF</t>
  </si>
  <si>
    <t>Tons cinza para fundos, textos e elementos de apoio.</t>
  </si>
  <si>
    <t>Branco para textos principais e contraste.</t>
  </si>
  <si>
    <t>Verde como cor primária para destaques e ações.</t>
  </si>
  <si>
    <t>XBOX</t>
  </si>
  <si>
    <t>Logos</t>
  </si>
  <si>
    <t>ícones</t>
  </si>
  <si>
    <t>Subscriber ID</t>
  </si>
  <si>
    <t>Name</t>
  </si>
  <si>
    <t>Plan</t>
  </si>
  <si>
    <t>Start Date</t>
  </si>
  <si>
    <t>Month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</si>
  <si>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</si>
  <si>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</si>
  <si>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</si>
  <si>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</si>
  <si>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</si>
  <si>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</si>
  <si>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</si>
  <si>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</si>
  <si>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Region</t>
  </si>
  <si>
    <t>Total Value</t>
  </si>
  <si>
    <t>João Silva</t>
  </si>
  <si>
    <t>Ultimate</t>
  </si>
  <si>
    <t>Yes</t>
  </si>
  <si>
    <t>Monthly</t>
  </si>
  <si>
    <t>North</t>
  </si>
  <si>
    <t>Maria Oliveira</t>
  </si>
  <si>
    <t>Core</t>
  </si>
  <si>
    <t>No</t>
  </si>
  <si>
    <t>Annual</t>
  </si>
  <si>
    <t>Central-west</t>
  </si>
  <si>
    <t>Lucas Fernandes</t>
  </si>
  <si>
    <t>Standard</t>
  </si>
  <si>
    <t>Quarterly</t>
  </si>
  <si>
    <t>South</t>
  </si>
  <si>
    <t>Ana Souza</t>
  </si>
  <si>
    <t>Pedro Gonçalves</t>
  </si>
  <si>
    <t>Northeast</t>
  </si>
  <si>
    <t>Felipe Costa</t>
  </si>
  <si>
    <t>Camila Ribeiro</t>
  </si>
  <si>
    <t>André Mendes</t>
  </si>
  <si>
    <t>Southeast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</si>
  <si>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</si>
  <si>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</si>
  <si>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</si>
  <si>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</si>
  <si>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</si>
  <si>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</si>
  <si>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</si>
  <si>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</si>
  <si>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</si>
  <si>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</si>
  <si>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</si>
  <si>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</si>
  <si>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</si>
  <si>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</si>
  <si>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</si>
  <si>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</si>
  <si>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</si>
  <si>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</si>
  <si>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</si>
  <si>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</si>
  <si>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</si>
  <si>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</si>
  <si>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</si>
  <si>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</si>
  <si>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</si>
  <si>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</si>
  <si>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</si>
  <si>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</si>
  <si>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</si>
  <si>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</si>
  <si>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</si>
  <si>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</si>
  <si>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</si>
  <si>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</si>
  <si>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</si>
  <si>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</si>
  <si>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</si>
  <si>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</si>
  <si>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</si>
  <si>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</si>
  <si>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</si>
  <si>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</si>
  <si>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</si>
  <si>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</si>
  <si>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</si>
  <si>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</si>
  <si>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</si>
  <si>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</si>
  <si>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</si>
  <si>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</si>
  <si>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</si>
  <si>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</si>
  <si>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</si>
  <si>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</si>
  <si>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</si>
  <si>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</si>
  <si>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</si>
  <si>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</si>
  <si>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</si>
  <si>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</si>
  <si>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</si>
  <si>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</si>
  <si>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</si>
  <si>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</si>
  <si>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</si>
  <si>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</si>
  <si>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</si>
  <si>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</si>
  <si>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</si>
  <si>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</si>
  <si>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</si>
  <si>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</si>
  <si>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</si>
  <si>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</si>
  <si>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</si>
  <si>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</si>
  <si>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</si>
  <si>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</si>
  <si>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</si>
  <si>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</si>
  <si>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</si>
  <si>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</si>
  <si>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</si>
  <si>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</si>
  <si>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</si>
  <si>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</si>
  <si>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</si>
  <si>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</si>
  <si>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</si>
  <si>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</si>
  <si>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</si>
  <si>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</si>
  <si>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</si>
  <si>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</si>
  <si>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</si>
  <si>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</si>
  <si>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</si>
  <si>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</si>
  <si>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</si>
  <si>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</si>
  <si>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</si>
  <si>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</si>
  <si>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</si>
  <si>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</si>
  <si>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</si>
  <si>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</si>
  <si>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</si>
  <si>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</si>
  <si>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</si>
  <si>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</si>
  <si>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</si>
  <si>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</si>
  <si>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</si>
  <si>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</si>
  <si>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</si>
  <si>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</si>
  <si>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</si>
  <si>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</si>
  <si>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</si>
  <si>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</si>
  <si>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</si>
  <si>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</si>
  <si>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</si>
  <si>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</si>
  <si>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</si>
  <si>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</si>
  <si>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</si>
  <si>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</si>
  <si>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</si>
  <si>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</si>
  <si>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</si>
  <si>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</si>
  <si>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</si>
  <si>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</si>
  <si>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</si>
  <si>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</si>
  <si>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</si>
  <si>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</si>
  <si>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</si>
  <si>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</si>
  <si>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</si>
  <si>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</si>
  <si>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</si>
  <si>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</si>
  <si>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</si>
  <si>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</si>
  <si>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</si>
  <si>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</si>
  <si>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</si>
  <si>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</si>
  <si>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</si>
  <si>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</si>
  <si>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</si>
  <si>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</si>
  <si>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</si>
  <si>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</si>
  <si>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</si>
  <si>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</si>
  <si>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</si>
  <si>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</si>
  <si>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</si>
  <si>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</si>
  <si>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</si>
  <si>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</si>
  <si>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</si>
  <si>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</si>
  <si>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</si>
  <si>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</si>
  <si>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</si>
  <si>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</si>
  <si>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</si>
  <si>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</si>
  <si>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</si>
  <si>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</si>
  <si>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</si>
  <si>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</si>
  <si>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</si>
  <si>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</si>
  <si>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</si>
  <si>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</si>
  <si>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</si>
  <si>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</si>
  <si>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</si>
  <si>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</si>
  <si>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</si>
  <si>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</si>
  <si>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</si>
  <si>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</si>
  <si>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</si>
  <si>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</si>
  <si>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</si>
  <si>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</si>
  <si>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</si>
  <si>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</si>
  <si>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</si>
  <si>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</si>
  <si>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</si>
  <si>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</si>
  <si>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</si>
  <si>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</si>
  <si>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</si>
  <si>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</si>
  <si>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</si>
  <si>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</si>
  <si>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</si>
  <si>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</si>
  <si>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</si>
  <si>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</si>
  <si>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</si>
  <si>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</si>
  <si>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</si>
  <si>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</si>
  <si>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</si>
  <si>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</si>
  <si>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</si>
  <si>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</si>
  <si>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</si>
  <si>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</si>
  <si>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</si>
  <si>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</si>
  <si>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</si>
  <si>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</si>
  <si>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</si>
  <si>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</si>
  <si>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</si>
  <si>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</si>
  <si>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</si>
  <si>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</si>
  <si>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</si>
  <si>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</si>
  <si>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</si>
  <si>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</si>
  <si>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</si>
  <si>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</si>
  <si>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</si>
  <si>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</si>
  <si>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</si>
  <si>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</si>
  <si>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</si>
  <si>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</si>
  <si>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</si>
  <si>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</si>
  <si>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</si>
  <si>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</si>
  <si>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</si>
  <si>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</si>
  <si>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</si>
  <si>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</si>
  <si>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</si>
  <si>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</si>
  <si>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</si>
  <si>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</si>
  <si>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</si>
  <si>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</si>
  <si>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</si>
  <si>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</si>
  <si>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</si>
  <si>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</si>
  <si>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</si>
  <si>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</si>
  <si>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</si>
  <si>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</si>
  <si>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</si>
  <si>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</si>
  <si>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</si>
  <si>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</si>
  <si>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</si>
  <si>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</si>
  <si>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</si>
  <si>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</si>
  <si>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</si>
  <si>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</si>
  <si>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(Tudo)</t>
  </si>
  <si>
    <t>Rótulos de Linha</t>
  </si>
  <si>
    <t>Total Geral</t>
  </si>
  <si>
    <t>Soma de Total Value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</si>
  <si>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</si>
  <si>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</si>
  <si>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</si>
  <si>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</si>
  <si>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</si>
  <si>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</si>
  <si>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</si>
  <si>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</si>
  <si>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</si>
  <si>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</si>
  <si>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</si>
  <si>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</si>
  <si>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Contagem de Subscriber ID</t>
  </si>
  <si>
    <t>Total</t>
  </si>
  <si>
    <t>Soma de Coupon Value</t>
  </si>
  <si>
    <t>Total Bruto</t>
  </si>
  <si>
    <t>Porc. do total</t>
  </si>
  <si>
    <t>Total de cupons</t>
  </si>
  <si>
    <t>Total liquido</t>
  </si>
  <si>
    <t>Porc.</t>
  </si>
  <si>
    <t>assinantes</t>
  </si>
  <si>
    <t>média por assinante</t>
  </si>
  <si>
    <r>
      <t xml:space="preserve">Pergunta de negócio 1: </t>
    </r>
    <r>
      <rPr>
        <sz val="14"/>
        <color theme="1" tint="0.14999847407452621"/>
        <rFont val="Arial Nova Light"/>
        <family val="2"/>
      </rPr>
      <t>Qual faturamento total liquido de vendas (com todas as assinaturas propostas)?</t>
    </r>
  </si>
  <si>
    <r>
      <t xml:space="preserve">Pergunta de negócio 2: </t>
    </r>
    <r>
      <rPr>
        <sz val="14"/>
        <color theme="1" tint="0.14999847407452621"/>
        <rFont val="Arial Nova Light"/>
        <family val="2"/>
      </rPr>
      <t>Qual é o total de desconto através dos cupons?</t>
    </r>
  </si>
  <si>
    <r>
      <t xml:space="preserve">Pergunta de negócio 3: </t>
    </r>
    <r>
      <rPr>
        <sz val="14"/>
        <color theme="1" tint="0.14999847407452621"/>
        <rFont val="Arial Nova Light"/>
        <family val="2"/>
      </rPr>
      <t>Qual é a quantidade total de assinantes e quantidade por planos?</t>
    </r>
  </si>
  <si>
    <r>
      <t>Pergunta de negócio 4:</t>
    </r>
    <r>
      <rPr>
        <sz val="14"/>
        <color theme="1" tint="0.14999847407452621"/>
        <rFont val="Arial Nova Light"/>
        <family val="2"/>
      </rPr>
      <t xml:space="preserve"> Qual é faturamento bruto (com todas as assinaturas propostas)?</t>
    </r>
  </si>
  <si>
    <r>
      <t xml:space="preserve">Pergunta de negócio 5: </t>
    </r>
    <r>
      <rPr>
        <sz val="14"/>
        <color theme="1" tint="0.14999847407452621"/>
        <rFont val="Arial Nova Light"/>
        <family val="2"/>
      </rPr>
      <t>Quantos assinantes estão no plano autorenovável?</t>
    </r>
  </si>
  <si>
    <r>
      <t xml:space="preserve">Pergunta de negócio 6: </t>
    </r>
    <r>
      <rPr>
        <sz val="14"/>
        <color theme="1" tint="0.14999847407452621"/>
        <rFont val="Arial Nova Light"/>
        <family val="2"/>
      </rPr>
      <t>Qual é a média de lucro por assinante?</t>
    </r>
  </si>
  <si>
    <r>
      <t xml:space="preserve">Pergunta de negócio 7: </t>
    </r>
    <r>
      <rPr>
        <sz val="14"/>
        <color theme="1" tint="0.14999847407452621"/>
        <rFont val="Arial Nova Light"/>
        <family val="2"/>
      </rPr>
      <t>Qual mês tem maior lucro (com todas as assinaturas propostas)?</t>
    </r>
  </si>
  <si>
    <r>
      <t>Pergunta de negócio 8:</t>
    </r>
    <r>
      <rPr>
        <sz val="14"/>
        <color theme="1" tint="0.14999847407452621"/>
        <rFont val="Arial Nova Light"/>
        <family val="2"/>
      </rPr>
      <t xml:space="preserve"> Qual tipo de plano gera maior lucro por tipo de assinatura?</t>
    </r>
  </si>
  <si>
    <r>
      <t>Pergunta de negócio 9:</t>
    </r>
    <r>
      <rPr>
        <sz val="14"/>
        <color theme="1" tint="0.14999847407452621"/>
        <rFont val="Arial Nova Light"/>
        <family val="2"/>
      </rPr>
      <t xml:space="preserve"> Qual região tem maior lucratividade em assinaturas por tipo de assinatura?</t>
    </r>
  </si>
  <si>
    <r>
      <t xml:space="preserve">Pergunta de negócio 10: </t>
    </r>
    <r>
      <rPr>
        <sz val="14"/>
        <color theme="1" tint="0.14999847407452621"/>
        <rFont val="Arial Nova Light"/>
        <family val="2"/>
      </rPr>
      <t>Qual é a quantidade de assinantes que aderiram a modalidade EA Play e Minecraft por tipo de assinatura?</t>
    </r>
  </si>
  <si>
    <r>
      <t xml:space="preserve">Pergunta de negócio 11: </t>
    </r>
    <r>
      <rPr>
        <sz val="14"/>
        <color theme="1" tint="0.14999847407452621"/>
        <rFont val="Arial Nova Light"/>
        <family val="2"/>
      </rPr>
      <t>Quantidade de assinantes por tipo de assinatura?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</si>
</sst>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mmmm/\ yyyy;@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4"/>
      <color theme="1" tint="0.14999847407452621"/>
      <name val="Arial Nova Light"/>
      <family val="2"/>
    </font>
    <font>
      <sz val="14"/>
      <color theme="1" tint="0.14999847407452621"/>
      <name val="Arial Nova Light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/>
        <bgColor theme="6"/>
      </patternFill>
    </fill>
    <fill>
      <patternFill patternType="solid">
        <fgColor rgb="FF0D0D0D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28">
    <xf numFmtId="0" fontId="0" fillId="0" borderId="0" xfId="0"/>
    <xf numFmtId="0" fontId="0" fillId="2" borderId="0" xfId="0" applyFill="1"/>
    <xf numFmtId="0" fontId="4" fillId="2" borderId="0" xfId="0" applyFont="1" applyFill="1"/>
    <xf numFmtId="0" fontId="5" fillId="2" borderId="0" xfId="0" applyFont="1" applyFill="1"/>
    <xf numFmtId="0" fontId="2" fillId="0" borderId="1" xfId="4"/>
    <xf numFmtId="0" fontId="0" fillId="3" borderId="0" xfId="0" applyFill="1"/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4" fontId="0" fillId="0" borderId="0" xfId="2" applyFont="1" applyBorder="1" applyAlignment="1">
      <alignment horizontal="center" vertical="center" wrapText="1"/>
    </xf>
    <xf numFmtId="44" fontId="0" fillId="0" borderId="0" xfId="0" applyNumberForma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5" borderId="0" xfId="0" applyFill="1"/>
    <xf numFmtId="9" fontId="0" fillId="0" borderId="0" xfId="3" applyFont="1"/>
    <xf numFmtId="9" fontId="0" fillId="0" borderId="0" xfId="0" applyNumberFormat="1"/>
    <xf numFmtId="9" fontId="0" fillId="5" borderId="0" xfId="0" applyNumberFormat="1" applyFill="1"/>
    <xf numFmtId="44" fontId="0" fillId="0" borderId="0" xfId="3" applyNumberFormat="1" applyFont="1"/>
    <xf numFmtId="0" fontId="0" fillId="0" borderId="0" xfId="0" applyAlignment="1">
      <alignment horizontal="center"/>
    </xf>
    <xf numFmtId="0" fontId="6" fillId="5" borderId="0" xfId="0" applyFont="1" applyFill="1"/>
    <xf numFmtId="0" fontId="7" fillId="0" borderId="0" xfId="0" applyFont="1"/>
    <xf numFmtId="0" fontId="0" fillId="0" borderId="0" xfId="0" applyNumberFormat="1"/>
  </cellXfs>
  <cellStyles count="5">
    <cellStyle name="Moeda" xfId="2" builtinId="4"/>
    <cellStyle name="Normal" xfId="0" builtinId="0"/>
    <cellStyle name="Porcentagem" xfId="3" builtinId="5"/>
    <cellStyle name="Título 1" xfId="4" builtinId="16"/>
    <cellStyle name="Vírgula" xfId="1" builtinId="3"/>
  </cellStyles>
  <dxfs count="2">
    <dxf>
      <font>
        <b/>
        <color theme="1"/>
      </font>
      <border diagonalUp="0" diagonalDown="0">
        <left/>
        <right/>
        <top/>
        <bottom/>
        <vertical/>
        <horizontal/>
      </border>
    </dxf>
    <dxf>
      <font>
        <color theme="1"/>
      </font>
      <fill>
        <patternFill>
          <bgColor rgb="FF1A1A1A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Dark6 2" pivot="0" table="0" count="10" xr9:uid="{49004192-1419-44A4-BFA4-F2A9AB38A5ED}">
      <tableStyleElement type="wholeTable" dxfId="1"/>
      <tableStyleElement type="headerRow" dxfId="0"/>
    </tableStyle>
  </tableStyles>
  <colors>
    <mruColors>
      <color rgb="FFE5E5E5"/>
      <color rgb="FFFFFFFF"/>
      <color rgb="FF16A34A"/>
      <color rgb="FF107C10"/>
      <color rgb="FF333333"/>
      <color rgb="FF0D0D0D"/>
      <color rgb="FF0A2E0A"/>
      <color rgb="FF1A1A1A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patternFill patternType="solid">
              <fgColor auto="1"/>
              <bgColor rgb="FFFFFFFF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rgb="FFFFFFFF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rgb="FF16A34A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rgb="FFFFFFFF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9" tint="-0.249977111117893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theme="9" tint="0.59999389629810485"/>
            </left>
            <right style="thin">
              <color theme="9" tint="0.59999389629810485"/>
            </right>
            <top style="thin">
              <color theme="9" tint="0.59999389629810485"/>
            </top>
            <bottom style="thin">
              <color theme="9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9"/>
              <bgColor rgb="FF107C10"/>
            </patternFill>
          </fill>
          <border>
            <left style="thin">
              <color theme="9"/>
            </left>
            <right style="thin">
              <color theme="9"/>
            </right>
            <top style="thin">
              <color theme="9"/>
            </top>
            <bottom style="thin">
              <color theme="9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E5E5E5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E5E5E5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Dark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[dashboard_xbox_subscriptions_eng.xlsx]Cálculos!Tabela dinâmica2</c:name>
    <c:fmtId val="13"/>
  </c:pivotSource>
  <c:chart>
    <c:autoTitleDeleted val="1"/>
    <c:pivotFmts>
      <c:pivotFmt>
        <c:idx val="0"/>
        <c:spPr>
          <a:solidFill>
            <a:srgbClr val="107C10">
              <a:alpha val="86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107C10">
              <a:alpha val="86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107C10">
              <a:alpha val="86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1196584366614224"/>
          <c:y val="0.11111105035484999"/>
          <c:w val="0.76424116536048714"/>
          <c:h val="0.76306771485798619"/>
        </c:manualLayout>
      </c:layout>
      <c:areaChart>
        <c:grouping val="standard"/>
        <c:varyColors val="0"/>
        <c:ser>
          <c:idx val="0"/>
          <c:order val="0"/>
          <c:tx>
            <c:strRef>
              <c:f>Cálculos!$C$12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07C10">
                <a:alpha val="86000"/>
              </a:srgbClr>
            </a:solidFill>
            <a:ln>
              <a:noFill/>
            </a:ln>
            <a:effectLst/>
          </c:spPr>
          <c:cat>
            <c:strRef>
              <c:f>Cálculos!$B$13:$B$25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Cálculos!$C$13:$C$25</c:f>
              <c:numCache>
                <c:formatCode>_("R$"* #,##0.00_);_("R$"* \(#,##0.00\);_("R$"* "-"??_);_(@_)</c:formatCode>
                <c:ptCount val="12"/>
                <c:pt idx="0">
                  <c:v>65</c:v>
                </c:pt>
                <c:pt idx="1">
                  <c:v>82</c:v>
                </c:pt>
                <c:pt idx="2">
                  <c:v>801</c:v>
                </c:pt>
                <c:pt idx="3">
                  <c:v>782</c:v>
                </c:pt>
                <c:pt idx="4">
                  <c:v>777</c:v>
                </c:pt>
                <c:pt idx="5">
                  <c:v>770</c:v>
                </c:pt>
                <c:pt idx="6">
                  <c:v>784</c:v>
                </c:pt>
                <c:pt idx="7">
                  <c:v>787</c:v>
                </c:pt>
                <c:pt idx="8">
                  <c:v>780</c:v>
                </c:pt>
                <c:pt idx="9">
                  <c:v>832</c:v>
                </c:pt>
                <c:pt idx="10">
                  <c:v>784</c:v>
                </c:pt>
                <c:pt idx="11">
                  <c:v>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F7-4190-AC42-BB777812E0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3848191"/>
        <c:axId val="1183841471"/>
      </c:areaChart>
      <c:catAx>
        <c:axId val="11838481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83841471"/>
        <c:crosses val="autoZero"/>
        <c:auto val="1"/>
        <c:lblAlgn val="ctr"/>
        <c:lblOffset val="100"/>
        <c:noMultiLvlLbl val="0"/>
      </c:catAx>
      <c:valAx>
        <c:axId val="1183841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333333">
                  <a:alpha val="40000"/>
                </a:srgb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83848191"/>
        <c:crosses val="autoZero"/>
        <c:crossBetween val="midCat"/>
        <c:majorUnit val="200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A1A1A">
        <a:alpha val="79000"/>
      </a:srgb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[dashboard_xbox_subscriptions_eng.xlsx]Cálculos!Tabela dinâmica8</c:name>
    <c:fmtId val="9"/>
  </c:pivotSource>
  <c:chart>
    <c:autoTitleDeleted val="1"/>
    <c:pivotFmts>
      <c:pivotFmt>
        <c:idx val="0"/>
        <c:spPr>
          <a:solidFill>
            <a:srgbClr val="107C1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107C1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107C1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489391951006124"/>
          <c:y val="0.10303030303030303"/>
          <c:w val="0.78774496937882765"/>
          <c:h val="0.866666666666666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Cálculos!$G$26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07C1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Cálculos!$F$27:$F$32</c:f>
              <c:strCache>
                <c:ptCount val="5"/>
                <c:pt idx="0">
                  <c:v>Central-west</c:v>
                </c:pt>
                <c:pt idx="1">
                  <c:v>North</c:v>
                </c:pt>
                <c:pt idx="2">
                  <c:v>Northeast</c:v>
                </c:pt>
                <c:pt idx="3">
                  <c:v>South</c:v>
                </c:pt>
                <c:pt idx="4">
                  <c:v>Southeast</c:v>
                </c:pt>
              </c:strCache>
            </c:strRef>
          </c:cat>
          <c:val>
            <c:numRef>
              <c:f>Cálculos!$G$27:$G$32</c:f>
              <c:numCache>
                <c:formatCode>_("R$"* #,##0.00_);_("R$"* \(#,##0.00\);_("R$"* "-"??_);_(@_)</c:formatCode>
                <c:ptCount val="5"/>
                <c:pt idx="0">
                  <c:v>1294</c:v>
                </c:pt>
                <c:pt idx="1">
                  <c:v>1543</c:v>
                </c:pt>
                <c:pt idx="2">
                  <c:v>949</c:v>
                </c:pt>
                <c:pt idx="3">
                  <c:v>1479</c:v>
                </c:pt>
                <c:pt idx="4">
                  <c:v>2368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34-408D-8241-579B88C152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39257119"/>
        <c:axId val="1239257599"/>
      </c:barChart>
      <c:catAx>
        <c:axId val="1239257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9257599"/>
        <c:crosses val="autoZero"/>
        <c:auto val="1"/>
        <c:lblAlgn val="ctr"/>
        <c:lblOffset val="100"/>
        <c:noMultiLvlLbl val="0"/>
      </c:catAx>
      <c:valAx>
        <c:axId val="1239257599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239257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[dashboard_xbox_subscriptions_eng.xlsx]Cálculos!Tabela dinâmica10</c:name>
    <c:fmtId val="9"/>
  </c:pivotSource>
  <c:chart>
    <c:autoTitleDeleted val="1"/>
    <c:pivotFmts>
      <c:pivotFmt>
        <c:idx val="0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tint val="65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6">
              <a:shade val="65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333333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tint val="65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6">
              <a:shade val="65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Cálculos!$K$7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6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13E-4D54-9C75-D65EF8A55ADD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13E-4D54-9C75-D65EF8A55ADD}"/>
              </c:ext>
            </c:extLst>
          </c:dPt>
          <c:dPt>
            <c:idx val="2"/>
            <c:bubble3D val="0"/>
            <c:spPr>
              <a:solidFill>
                <a:schemeClr val="accent6">
                  <a:shade val="6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13E-4D54-9C75-D65EF8A55ADD}"/>
              </c:ext>
            </c:extLst>
          </c:dPt>
          <c:dLbls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333333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Cálculos!$J$8:$J$11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Cálculos!$K$8:$K$11</c:f>
              <c:numCache>
                <c:formatCode>_("R$"* #,##0.00_);_("R$"* \(#,##0.00\);_("R$"* "-"??_);_(@_)</c:formatCode>
                <c:ptCount val="3"/>
                <c:pt idx="0">
                  <c:v>444</c:v>
                </c:pt>
                <c:pt idx="1">
                  <c:v>1801</c:v>
                </c:pt>
                <c:pt idx="2">
                  <c:v>5388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13E-4D54-9C75-D65EF8A55AD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[dashboard_xbox_subscriptions_eng.xlsx]Cálculos!Tabela dinâmica11</c:name>
    <c:fmtId val="12"/>
  </c:pivotSource>
  <c:chart>
    <c:autoTitleDeleted val="1"/>
    <c:pivotFmts>
      <c:pivotFmt>
        <c:idx val="0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shade val="65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6">
              <a:tint val="65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shade val="65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6">
              <a:tint val="65000"/>
            </a:schemeClr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Cálculos!$K$19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shade val="6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329-4B52-91FC-7AA9B94C9AD7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329-4B52-91FC-7AA9B94C9AD7}"/>
              </c:ext>
            </c:extLst>
          </c:dPt>
          <c:dPt>
            <c:idx val="2"/>
            <c:bubble3D val="0"/>
            <c:spPr>
              <a:solidFill>
                <a:schemeClr val="accent6">
                  <a:tint val="6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329-4B52-91FC-7AA9B94C9AD7}"/>
              </c:ext>
            </c:extLst>
          </c:dPt>
          <c:dLbls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Cálculos!$J$20:$J$23</c:f>
              <c:strCache>
                <c:ptCount val="3"/>
                <c:pt idx="0">
                  <c:v>Annual</c:v>
                </c:pt>
                <c:pt idx="1">
                  <c:v>Monthly</c:v>
                </c:pt>
                <c:pt idx="2">
                  <c:v>Quarterly</c:v>
                </c:pt>
              </c:strCache>
            </c:strRef>
          </c:cat>
          <c:val>
            <c:numRef>
              <c:f>Cálculos!$K$20:$K$23</c:f>
              <c:numCache>
                <c:formatCode>General</c:formatCode>
                <c:ptCount val="3"/>
                <c:pt idx="0">
                  <c:v>71</c:v>
                </c:pt>
                <c:pt idx="1">
                  <c:v>139</c:v>
                </c:pt>
                <c:pt idx="2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329-4B52-91FC-7AA9B94C9AD7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[dashboard_xbox_subscriptions_eng.xlsx]Cálculos!Tabela dinâmica12</c:name>
    <c:fmtId val="12"/>
  </c:pivotSource>
  <c:chart>
    <c:autoTitleDeleted val="1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6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Cálculos!$N$5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1BF-461A-BBE3-05C1B8F40B8F}"/>
              </c:ext>
            </c:extLst>
          </c:dPt>
          <c:dPt>
            <c:idx val="1"/>
            <c:bubble3D val="0"/>
            <c:spPr>
              <a:solidFill>
                <a:schemeClr val="accent6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1BF-461A-BBE3-05C1B8F40B8F}"/>
              </c:ext>
            </c:extLst>
          </c:dPt>
          <c:cat>
            <c:strRef>
              <c:f>Cálculos!$M$6:$M$8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Cálculos!$N$6:$N$8</c:f>
              <c:numCache>
                <c:formatCode>General</c:formatCode>
                <c:ptCount val="2"/>
                <c:pt idx="0">
                  <c:v>197</c:v>
                </c:pt>
                <c:pt idx="1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1BF-461A-BBE3-05C1B8F40B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[dashboard_xbox_subscriptions_eng.xlsx]Cálculos!Tabela dinâmica13</c:name>
    <c:fmtId val="19"/>
  </c:pivotSource>
  <c:chart>
    <c:autoTitleDeleted val="1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6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Cálculos!$N$17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6A3-4121-94D5-C6FC37E907F3}"/>
              </c:ext>
            </c:extLst>
          </c:dPt>
          <c:dPt>
            <c:idx val="1"/>
            <c:bubble3D val="0"/>
            <c:spPr>
              <a:solidFill>
                <a:schemeClr val="accent6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6A3-4121-94D5-C6FC37E907F3}"/>
              </c:ext>
            </c:extLst>
          </c:dPt>
          <c:cat>
            <c:strRef>
              <c:f>Cálculos!$M$18:$M$20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Cálculos!$N$18:$N$20</c:f>
              <c:numCache>
                <c:formatCode>General</c:formatCode>
                <c:ptCount val="2"/>
                <c:pt idx="0">
                  <c:v>101</c:v>
                </c:pt>
                <c:pt idx="1">
                  <c:v>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6A3-4121-94D5-C6FC37E907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jpe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.svg"/><Relationship Id="rId13" Type="http://schemas.openxmlformats.org/officeDocument/2006/relationships/image" Target="../media/image21.png"/><Relationship Id="rId18" Type="http://schemas.openxmlformats.org/officeDocument/2006/relationships/chart" Target="../charts/chart2.xml"/><Relationship Id="rId3" Type="http://schemas.openxmlformats.org/officeDocument/2006/relationships/image" Target="../media/image11.png"/><Relationship Id="rId21" Type="http://schemas.openxmlformats.org/officeDocument/2006/relationships/chart" Target="../charts/chart5.xml"/><Relationship Id="rId7" Type="http://schemas.openxmlformats.org/officeDocument/2006/relationships/image" Target="../media/image15.png"/><Relationship Id="rId12" Type="http://schemas.openxmlformats.org/officeDocument/2006/relationships/image" Target="../media/image20.svg"/><Relationship Id="rId17" Type="http://schemas.openxmlformats.org/officeDocument/2006/relationships/chart" Target="../charts/chart1.xml"/><Relationship Id="rId2" Type="http://schemas.openxmlformats.org/officeDocument/2006/relationships/image" Target="../media/image1.png"/><Relationship Id="rId16" Type="http://schemas.microsoft.com/office/2007/relationships/hdphoto" Target="../media/hdphoto1.wdp"/><Relationship Id="rId20" Type="http://schemas.openxmlformats.org/officeDocument/2006/relationships/chart" Target="../charts/chart4.xml"/><Relationship Id="rId1" Type="http://schemas.openxmlformats.org/officeDocument/2006/relationships/image" Target="../media/image9.png"/><Relationship Id="rId6" Type="http://schemas.openxmlformats.org/officeDocument/2006/relationships/image" Target="../media/image14.svg"/><Relationship Id="rId11" Type="http://schemas.openxmlformats.org/officeDocument/2006/relationships/image" Target="../media/image19.png"/><Relationship Id="rId5" Type="http://schemas.openxmlformats.org/officeDocument/2006/relationships/image" Target="../media/image13.png"/><Relationship Id="rId15" Type="http://schemas.openxmlformats.org/officeDocument/2006/relationships/image" Target="../media/image23.png"/><Relationship Id="rId23" Type="http://schemas.openxmlformats.org/officeDocument/2006/relationships/image" Target="../media/image24.png"/><Relationship Id="rId10" Type="http://schemas.openxmlformats.org/officeDocument/2006/relationships/image" Target="../media/image18.svg"/><Relationship Id="rId19" Type="http://schemas.openxmlformats.org/officeDocument/2006/relationships/chart" Target="../charts/chart3.xml"/><Relationship Id="rId4" Type="http://schemas.openxmlformats.org/officeDocument/2006/relationships/image" Target="../media/image12.svg"/><Relationship Id="rId9" Type="http://schemas.openxmlformats.org/officeDocument/2006/relationships/image" Target="../media/image17.png"/><Relationship Id="rId14" Type="http://schemas.openxmlformats.org/officeDocument/2006/relationships/image" Target="../media/image22.svg"/><Relationship Id="rId22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285750</xdr:colOff>
      <xdr:row>5</xdr:row>
      <xdr:rowOff>76200</xdr:rowOff>
    </xdr:from>
    <xdr:to>
      <xdr:col>2</xdr:col>
      <xdr:colOff>219075</xdr:colOff>
      <xdr:row>7</xdr:row>
      <xdr:rowOff>161925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BA98A4CE-D0D3-628F-5898-A9E8075D3C19}"/>
            </a:ext>
          </a:extLst>
        </xdr:cNvPr>
        <xdr:cNvSpPr/>
      </xdr:nvSpPr>
      <xdr:spPr>
        <a:xfrm>
          <a:off x="561975" y="1143000"/>
          <a:ext cx="542925" cy="466725"/>
        </a:xfrm>
        <a:prstGeom prst="roundRect">
          <a:avLst/>
        </a:prstGeom>
        <a:solidFill>
          <a:srgbClr val="107C1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276225</xdr:colOff>
      <xdr:row>8</xdr:row>
      <xdr:rowOff>85725</xdr:rowOff>
    </xdr:from>
    <xdr:to>
      <xdr:col>2</xdr:col>
      <xdr:colOff>209550</xdr:colOff>
      <xdr:row>10</xdr:row>
      <xdr:rowOff>171450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D64AA297-526F-4E2F-A9A3-EDC375565488}"/>
            </a:ext>
          </a:extLst>
        </xdr:cNvPr>
        <xdr:cNvSpPr/>
      </xdr:nvSpPr>
      <xdr:spPr>
        <a:xfrm>
          <a:off x="552450" y="1724025"/>
          <a:ext cx="542925" cy="466725"/>
        </a:xfrm>
        <a:prstGeom prst="roundRect">
          <a:avLst/>
        </a:prstGeom>
        <a:solidFill>
          <a:srgbClr val="16A34A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266700</xdr:colOff>
      <xdr:row>11</xdr:row>
      <xdr:rowOff>76200</xdr:rowOff>
    </xdr:from>
    <xdr:to>
      <xdr:col>2</xdr:col>
      <xdr:colOff>200025</xdr:colOff>
      <xdr:row>13</xdr:row>
      <xdr:rowOff>161925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2401518A-B109-4386-AEC1-DFD664A4694A}"/>
            </a:ext>
          </a:extLst>
        </xdr:cNvPr>
        <xdr:cNvSpPr/>
      </xdr:nvSpPr>
      <xdr:spPr>
        <a:xfrm>
          <a:off x="542925" y="2286000"/>
          <a:ext cx="542925" cy="466725"/>
        </a:xfrm>
        <a:prstGeom prst="roundRect">
          <a:avLst/>
        </a:prstGeom>
        <a:solidFill>
          <a:srgbClr val="0A2E0A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266700</xdr:colOff>
      <xdr:row>14</xdr:row>
      <xdr:rowOff>95250</xdr:rowOff>
    </xdr:from>
    <xdr:to>
      <xdr:col>2</xdr:col>
      <xdr:colOff>200025</xdr:colOff>
      <xdr:row>16</xdr:row>
      <xdr:rowOff>180975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D8F1CDDD-AC60-46EF-B59D-0A918EFAE393}"/>
            </a:ext>
          </a:extLst>
        </xdr:cNvPr>
        <xdr:cNvSpPr/>
      </xdr:nvSpPr>
      <xdr:spPr>
        <a:xfrm>
          <a:off x="542925" y="2876550"/>
          <a:ext cx="542925" cy="466725"/>
        </a:xfrm>
        <a:prstGeom prst="roundRect">
          <a:avLst/>
        </a:prstGeom>
        <a:solidFill>
          <a:srgbClr val="0D0D0D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257175</xdr:colOff>
      <xdr:row>17</xdr:row>
      <xdr:rowOff>66675</xdr:rowOff>
    </xdr:from>
    <xdr:to>
      <xdr:col>2</xdr:col>
      <xdr:colOff>190500</xdr:colOff>
      <xdr:row>19</xdr:row>
      <xdr:rowOff>152400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DBCF5179-32BD-41D0-AAAA-284C732646C8}"/>
            </a:ext>
          </a:extLst>
        </xdr:cNvPr>
        <xdr:cNvSpPr/>
      </xdr:nvSpPr>
      <xdr:spPr>
        <a:xfrm>
          <a:off x="533400" y="3419475"/>
          <a:ext cx="542925" cy="466725"/>
        </a:xfrm>
        <a:prstGeom prst="roundRect">
          <a:avLst/>
        </a:prstGeom>
        <a:solidFill>
          <a:srgbClr val="1A1A1A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228600</xdr:colOff>
      <xdr:row>20</xdr:row>
      <xdr:rowOff>57150</xdr:rowOff>
    </xdr:from>
    <xdr:to>
      <xdr:col>2</xdr:col>
      <xdr:colOff>161925</xdr:colOff>
      <xdr:row>22</xdr:row>
      <xdr:rowOff>142875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F6506722-7356-4391-9331-7590BE61C738}"/>
            </a:ext>
          </a:extLst>
        </xdr:cNvPr>
        <xdr:cNvSpPr/>
      </xdr:nvSpPr>
      <xdr:spPr>
        <a:xfrm>
          <a:off x="504825" y="3981450"/>
          <a:ext cx="542925" cy="466725"/>
        </a:xfrm>
        <a:prstGeom prst="roundRect">
          <a:avLst/>
        </a:prstGeom>
        <a:solidFill>
          <a:srgbClr val="333333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219075</xdr:colOff>
      <xdr:row>23</xdr:row>
      <xdr:rowOff>47625</xdr:rowOff>
    </xdr:from>
    <xdr:to>
      <xdr:col>2</xdr:col>
      <xdr:colOff>152400</xdr:colOff>
      <xdr:row>25</xdr:row>
      <xdr:rowOff>133350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ECFD6077-201D-42E4-ADEE-CD955DA7FCB1}"/>
            </a:ext>
          </a:extLst>
        </xdr:cNvPr>
        <xdr:cNvSpPr/>
      </xdr:nvSpPr>
      <xdr:spPr>
        <a:xfrm>
          <a:off x="495300" y="4543425"/>
          <a:ext cx="542925" cy="466725"/>
        </a:xfrm>
        <a:prstGeom prst="roundRect">
          <a:avLst/>
        </a:prstGeom>
        <a:solidFill>
          <a:srgbClr val="E5E5E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209550</xdr:colOff>
      <xdr:row>26</xdr:row>
      <xdr:rowOff>66675</xdr:rowOff>
    </xdr:from>
    <xdr:to>
      <xdr:col>2</xdr:col>
      <xdr:colOff>142875</xdr:colOff>
      <xdr:row>28</xdr:row>
      <xdr:rowOff>152400</xdr:rowOff>
    </xdr:to>
    <xdr:sp macro="" textlink="">
      <xdr:nvSpPr>
        <xdr:cNvPr id="9" name="Retângulo: Cantos Arredondados 8">
          <a:extLst>
            <a:ext uri="{FF2B5EF4-FFF2-40B4-BE49-F238E27FC236}">
              <a16:creationId xmlns:a16="http://schemas.microsoft.com/office/drawing/2014/main" id="{91D6022E-E082-4522-A104-814D0E038181}"/>
            </a:ext>
          </a:extLst>
        </xdr:cNvPr>
        <xdr:cNvSpPr/>
      </xdr:nvSpPr>
      <xdr:spPr>
        <a:xfrm>
          <a:off x="485775" y="5133975"/>
          <a:ext cx="542925" cy="466725"/>
        </a:xfrm>
        <a:prstGeom prst="roundRect">
          <a:avLst/>
        </a:prstGeom>
        <a:solidFill>
          <a:srgbClr val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7</xdr:col>
      <xdr:colOff>219074</xdr:colOff>
      <xdr:row>5</xdr:row>
      <xdr:rowOff>138302</xdr:rowOff>
    </xdr:from>
    <xdr:to>
      <xdr:col>9</xdr:col>
      <xdr:colOff>500471</xdr:colOff>
      <xdr:row>8</xdr:row>
      <xdr:rowOff>38100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0D1D4310-3E6E-4EDB-AEA1-111D10DD96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3138677"/>
          <a:ext cx="1500597" cy="471298"/>
        </a:xfrm>
        <a:prstGeom prst="rect">
          <a:avLst/>
        </a:prstGeom>
      </xdr:spPr>
    </xdr:pic>
    <xdr:clientData/>
  </xdr:twoCellAnchor>
  <xdr:twoCellAnchor editAs="oneCell">
    <xdr:from>
      <xdr:col>6</xdr:col>
      <xdr:colOff>561975</xdr:colOff>
      <xdr:row>8</xdr:row>
      <xdr:rowOff>47625</xdr:rowOff>
    </xdr:from>
    <xdr:to>
      <xdr:col>11</xdr:col>
      <xdr:colOff>400050</xdr:colOff>
      <xdr:row>13</xdr:row>
      <xdr:rowOff>117348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548207E5-A06A-4328-8F02-FBDA0B44CC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6290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17</xdr:col>
      <xdr:colOff>581025</xdr:colOff>
      <xdr:row>6</xdr:row>
      <xdr:rowOff>19050</xdr:rowOff>
    </xdr:from>
    <xdr:to>
      <xdr:col>18</xdr:col>
      <xdr:colOff>209550</xdr:colOff>
      <xdr:row>7</xdr:row>
      <xdr:rowOff>66675</xdr:rowOff>
    </xdr:to>
    <xdr:pic>
      <xdr:nvPicPr>
        <xdr:cNvPr id="18" name="Gráfico 17" descr="Lupa com preenchimento sólido">
          <a:extLst>
            <a:ext uri="{FF2B5EF4-FFF2-40B4-BE49-F238E27FC236}">
              <a16:creationId xmlns:a16="http://schemas.microsoft.com/office/drawing/2014/main" id="{ADCD3659-036E-4E55-80F2-F505C83356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7286625" y="3219450"/>
          <a:ext cx="238125" cy="238125"/>
        </a:xfrm>
        <a:prstGeom prst="rect">
          <a:avLst/>
        </a:prstGeom>
      </xdr:spPr>
    </xdr:pic>
    <xdr:clientData/>
  </xdr:twoCellAnchor>
  <xdr:twoCellAnchor>
    <xdr:from>
      <xdr:col>15</xdr:col>
      <xdr:colOff>76200</xdr:colOff>
      <xdr:row>5</xdr:row>
      <xdr:rowOff>133350</xdr:rowOff>
    </xdr:from>
    <xdr:to>
      <xdr:col>16</xdr:col>
      <xdr:colOff>161925</xdr:colOff>
      <xdr:row>9</xdr:row>
      <xdr:rowOff>57150</xdr:rowOff>
    </xdr:to>
    <xdr:sp macro="" textlink="">
      <xdr:nvSpPr>
        <xdr:cNvPr id="19" name="Elipse 18">
          <a:extLst>
            <a:ext uri="{FF2B5EF4-FFF2-40B4-BE49-F238E27FC236}">
              <a16:creationId xmlns:a16="http://schemas.microsoft.com/office/drawing/2014/main" id="{574B1E93-11C9-4616-84FF-7731E9613782}"/>
            </a:ext>
          </a:extLst>
        </xdr:cNvPr>
        <xdr:cNvSpPr/>
      </xdr:nvSpPr>
      <xdr:spPr>
        <a:xfrm>
          <a:off x="5562600" y="31337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16</xdr:col>
      <xdr:colOff>285750</xdr:colOff>
      <xdr:row>5</xdr:row>
      <xdr:rowOff>142875</xdr:rowOff>
    </xdr:from>
    <xdr:to>
      <xdr:col>17</xdr:col>
      <xdr:colOff>371475</xdr:colOff>
      <xdr:row>9</xdr:row>
      <xdr:rowOff>66675</xdr:rowOff>
    </xdr:to>
    <xdr:sp macro="" textlink="">
      <xdr:nvSpPr>
        <xdr:cNvPr id="20" name="Elipse 19">
          <a:extLst>
            <a:ext uri="{FF2B5EF4-FFF2-40B4-BE49-F238E27FC236}">
              <a16:creationId xmlns:a16="http://schemas.microsoft.com/office/drawing/2014/main" id="{C0012232-4359-46A6-8CE5-29496717E585}"/>
            </a:ext>
          </a:extLst>
        </xdr:cNvPr>
        <xdr:cNvSpPr/>
      </xdr:nvSpPr>
      <xdr:spPr>
        <a:xfrm>
          <a:off x="6381750" y="31432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11</xdr:col>
      <xdr:colOff>457200</xdr:colOff>
      <xdr:row>19</xdr:row>
      <xdr:rowOff>161925</xdr:rowOff>
    </xdr:from>
    <xdr:to>
      <xdr:col>14</xdr:col>
      <xdr:colOff>183015</xdr:colOff>
      <xdr:row>23</xdr:row>
      <xdr:rowOff>155895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714AED3E-9D2A-4FAA-9D36-D97427489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657975" y="3943350"/>
          <a:ext cx="1554615" cy="75597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0</xdr:colOff>
      <xdr:row>25</xdr:row>
      <xdr:rowOff>76200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D82DD300-239F-4FD1-B64A-5D2D51B2D3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71975" y="3781425"/>
          <a:ext cx="1219200" cy="1219200"/>
        </a:xfrm>
        <a:prstGeom prst="rect">
          <a:avLst/>
        </a:prstGeom>
      </xdr:spPr>
    </xdr:pic>
    <xdr:clientData/>
  </xdr:twoCellAnchor>
  <xdr:twoCellAnchor editAs="oneCell">
    <xdr:from>
      <xdr:col>12</xdr:col>
      <xdr:colOff>47625</xdr:colOff>
      <xdr:row>5</xdr:row>
      <xdr:rowOff>114300</xdr:rowOff>
    </xdr:from>
    <xdr:to>
      <xdr:col>13</xdr:col>
      <xdr:colOff>276225</xdr:colOff>
      <xdr:row>9</xdr:row>
      <xdr:rowOff>180975</xdr:rowOff>
    </xdr:to>
    <xdr:pic>
      <xdr:nvPicPr>
        <xdr:cNvPr id="28" name="Imagem 27">
          <a:extLst>
            <a:ext uri="{FF2B5EF4-FFF2-40B4-BE49-F238E27FC236}">
              <a16:creationId xmlns:a16="http://schemas.microsoft.com/office/drawing/2014/main" id="{59D29F73-A674-470F-8575-31E7779259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858000" y="1219200"/>
          <a:ext cx="838200" cy="838200"/>
        </a:xfrm>
        <a:prstGeom prst="rect">
          <a:avLst/>
        </a:prstGeom>
      </xdr:spPr>
    </xdr:pic>
    <xdr:clientData/>
  </xdr:twoCellAnchor>
  <xdr:twoCellAnchor editAs="oneCell">
    <xdr:from>
      <xdr:col>14</xdr:col>
      <xdr:colOff>604839</xdr:colOff>
      <xdr:row>14</xdr:row>
      <xdr:rowOff>190499</xdr:rowOff>
    </xdr:from>
    <xdr:to>
      <xdr:col>18</xdr:col>
      <xdr:colOff>452441</xdr:colOff>
      <xdr:row>23</xdr:row>
      <xdr:rowOff>0</xdr:rowOff>
    </xdr:to>
    <xdr:pic>
      <xdr:nvPicPr>
        <xdr:cNvPr id="30" name="Imagem 29">
          <a:extLst>
            <a:ext uri="{FF2B5EF4-FFF2-40B4-BE49-F238E27FC236}">
              <a16:creationId xmlns:a16="http://schemas.microsoft.com/office/drawing/2014/main" id="{4DAD9C33-0A49-8364-62D5-3F2FBF0737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634414" y="3019424"/>
          <a:ext cx="2286002" cy="15240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76200</xdr:colOff>
      <xdr:row>5</xdr:row>
      <xdr:rowOff>28574</xdr:rowOff>
    </xdr:from>
    <xdr:to>
      <xdr:col>3</xdr:col>
      <xdr:colOff>276225</xdr:colOff>
      <xdr:row>46</xdr:row>
      <xdr:rowOff>123825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80087EB1-8CE8-2D34-4D7E-8405DA05A58E}"/>
            </a:ext>
          </a:extLst>
        </xdr:cNvPr>
        <xdr:cNvSpPr/>
      </xdr:nvSpPr>
      <xdr:spPr>
        <a:xfrm>
          <a:off x="76200" y="981074"/>
          <a:ext cx="2028825" cy="7905751"/>
        </a:xfrm>
        <a:prstGeom prst="roundRect">
          <a:avLst>
            <a:gd name="adj" fmla="val 6424"/>
          </a:avLst>
        </a:prstGeom>
        <a:solidFill>
          <a:srgbClr val="1A1A1A"/>
        </a:solidFill>
        <a:ln>
          <a:noFill/>
        </a:ln>
        <a:effectLst>
          <a:outerShdw blurRad="50800" dist="50800" algn="l" rotWithShape="0">
            <a:srgbClr val="16A34A">
              <a:alpha val="77000"/>
            </a:srgbClr>
          </a:outerShdw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3</xdr:col>
      <xdr:colOff>466725</xdr:colOff>
      <xdr:row>0</xdr:row>
      <xdr:rowOff>0</xdr:rowOff>
    </xdr:from>
    <xdr:to>
      <xdr:col>29</xdr:col>
      <xdr:colOff>9524</xdr:colOff>
      <xdr:row>47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51557AE2-20C8-5FD6-E6BE-E52639D8CE7B}"/>
            </a:ext>
          </a:extLst>
        </xdr:cNvPr>
        <xdr:cNvSpPr/>
      </xdr:nvSpPr>
      <xdr:spPr>
        <a:xfrm>
          <a:off x="2295525" y="0"/>
          <a:ext cx="15392399" cy="8953500"/>
        </a:xfrm>
        <a:prstGeom prst="roundRect">
          <a:avLst>
            <a:gd name="adj" fmla="val 2559"/>
          </a:avLst>
        </a:prstGeom>
        <a:solidFill>
          <a:srgbClr val="0D0D0D"/>
        </a:solidFill>
        <a:ln>
          <a:noFill/>
        </a:ln>
        <a:effectLst>
          <a:outerShdw blurRad="50800" dist="38100" dir="8100000" algn="tr" rotWithShape="0">
            <a:srgbClr val="16A34A">
              <a:alpha val="77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304801</xdr:colOff>
      <xdr:row>1</xdr:row>
      <xdr:rowOff>28575</xdr:rowOff>
    </xdr:from>
    <xdr:to>
      <xdr:col>6</xdr:col>
      <xdr:colOff>514351</xdr:colOff>
      <xdr:row>3</xdr:row>
      <xdr:rowOff>104775</xdr:rowOff>
    </xdr:to>
    <xdr:grpSp>
      <xdr:nvGrpSpPr>
        <xdr:cNvPr id="7" name="Agrupar 6">
          <a:extLst>
            <a:ext uri="{FF2B5EF4-FFF2-40B4-BE49-F238E27FC236}">
              <a16:creationId xmlns:a16="http://schemas.microsoft.com/office/drawing/2014/main" id="{3F5D6420-0DC1-CD9D-A345-BC3EA51972CA}"/>
            </a:ext>
          </a:extLst>
        </xdr:cNvPr>
        <xdr:cNvGrpSpPr/>
      </xdr:nvGrpSpPr>
      <xdr:grpSpPr>
        <a:xfrm>
          <a:off x="2743201" y="219075"/>
          <a:ext cx="1428750" cy="457200"/>
          <a:chOff x="2743200" y="219074"/>
          <a:chExt cx="2190750" cy="695325"/>
        </a:xfrm>
      </xdr:grpSpPr>
      <xdr:pic>
        <xdr:nvPicPr>
          <xdr:cNvPr id="5" name="Imagem 4">
            <a:extLst>
              <a:ext uri="{FF2B5EF4-FFF2-40B4-BE49-F238E27FC236}">
                <a16:creationId xmlns:a16="http://schemas.microsoft.com/office/drawing/2014/main" id="{87CD6539-17C9-48FC-8999-DCDEB88BAC3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743200" y="219074"/>
            <a:ext cx="695325" cy="695325"/>
          </a:xfrm>
          <a:prstGeom prst="rect">
            <a:avLst/>
          </a:prstGeom>
        </xdr:spPr>
      </xdr:pic>
      <xdr:pic>
        <xdr:nvPicPr>
          <xdr:cNvPr id="6" name="Imagem 5">
            <a:extLst>
              <a:ext uri="{FF2B5EF4-FFF2-40B4-BE49-F238E27FC236}">
                <a16:creationId xmlns:a16="http://schemas.microsoft.com/office/drawing/2014/main" id="{C0D90EC9-A2C8-40DF-8215-0A00934A0652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32372"/>
          <a:stretch>
            <a:fillRect/>
          </a:stretch>
        </xdr:blipFill>
        <xdr:spPr>
          <a:xfrm>
            <a:off x="3524249" y="219074"/>
            <a:ext cx="1409701" cy="667916"/>
          </a:xfrm>
          <a:prstGeom prst="rect">
            <a:avLst/>
          </a:prstGeom>
        </xdr:spPr>
      </xdr:pic>
    </xdr:grpSp>
    <xdr:clientData/>
  </xdr:twoCellAnchor>
  <xdr:twoCellAnchor editAs="absolute">
    <xdr:from>
      <xdr:col>7</xdr:col>
      <xdr:colOff>571500</xdr:colOff>
      <xdr:row>1</xdr:row>
      <xdr:rowOff>85725</xdr:rowOff>
    </xdr:from>
    <xdr:to>
      <xdr:col>8</xdr:col>
      <xdr:colOff>7619</xdr:colOff>
      <xdr:row>3</xdr:row>
      <xdr:rowOff>114300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F7EBB0A1-A4F0-D3FD-9EF4-7A2D7A773C99}"/>
            </a:ext>
          </a:extLst>
        </xdr:cNvPr>
        <xdr:cNvSpPr/>
      </xdr:nvSpPr>
      <xdr:spPr>
        <a:xfrm>
          <a:off x="4838700" y="276225"/>
          <a:ext cx="45719" cy="409575"/>
        </a:xfrm>
        <a:prstGeom prst="rect">
          <a:avLst/>
        </a:prstGeom>
        <a:solidFill>
          <a:srgbClr val="33333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8</xdr:col>
      <xdr:colOff>361950</xdr:colOff>
      <xdr:row>1</xdr:row>
      <xdr:rowOff>19051</xdr:rowOff>
    </xdr:from>
    <xdr:to>
      <xdr:col>22</xdr:col>
      <xdr:colOff>161925</xdr:colOff>
      <xdr:row>3</xdr:row>
      <xdr:rowOff>95251</xdr:rowOff>
    </xdr:to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98F5B244-F98E-3F17-FCF3-0226C3C8C525}"/>
            </a:ext>
          </a:extLst>
        </xdr:cNvPr>
        <xdr:cNvSpPr txBox="1"/>
      </xdr:nvSpPr>
      <xdr:spPr>
        <a:xfrm>
          <a:off x="5238750" y="209551"/>
          <a:ext cx="8334375" cy="457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2000" b="1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t>GAME PASS SUBSCRIPTIONS DASHBOARD</a:t>
          </a:r>
        </a:p>
      </xdr:txBody>
    </xdr:sp>
    <xdr:clientData/>
  </xdr:twoCellAnchor>
  <xdr:twoCellAnchor>
    <xdr:from>
      <xdr:col>23</xdr:col>
      <xdr:colOff>0</xdr:colOff>
      <xdr:row>1</xdr:row>
      <xdr:rowOff>123825</xdr:rowOff>
    </xdr:from>
    <xdr:to>
      <xdr:col>28</xdr:col>
      <xdr:colOff>0</xdr:colOff>
      <xdr:row>3</xdr:row>
      <xdr:rowOff>123825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CC3E4F84-3BA5-39F4-98C8-7D039A6DCB17}"/>
            </a:ext>
          </a:extLst>
        </xdr:cNvPr>
        <xdr:cNvGrpSpPr/>
      </xdr:nvGrpSpPr>
      <xdr:grpSpPr>
        <a:xfrm>
          <a:off x="14020800" y="314325"/>
          <a:ext cx="3048000" cy="381000"/>
          <a:chOff x="14049375" y="323850"/>
          <a:chExt cx="3276600" cy="333375"/>
        </a:xfrm>
      </xdr:grpSpPr>
      <xdr:sp macro="" textlink="">
        <xdr:nvSpPr>
          <xdr:cNvPr id="10" name="Retângulo: Cantos Arredondados 9">
            <a:extLst>
              <a:ext uri="{FF2B5EF4-FFF2-40B4-BE49-F238E27FC236}">
                <a16:creationId xmlns:a16="http://schemas.microsoft.com/office/drawing/2014/main" id="{D9180B0C-6253-1971-98BA-6771A1CDB767}"/>
              </a:ext>
            </a:extLst>
          </xdr:cNvPr>
          <xdr:cNvSpPr/>
        </xdr:nvSpPr>
        <xdr:spPr>
          <a:xfrm>
            <a:off x="14049375" y="333375"/>
            <a:ext cx="3276600" cy="295275"/>
          </a:xfrm>
          <a:prstGeom prst="roundRect">
            <a:avLst/>
          </a:prstGeom>
          <a:noFill/>
          <a:ln>
            <a:solidFill>
              <a:srgbClr val="FFFFFF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12" name="Gráfico 11" descr="Calendário diário com preenchimento sólido">
            <a:extLst>
              <a:ext uri="{FF2B5EF4-FFF2-40B4-BE49-F238E27FC236}">
                <a16:creationId xmlns:a16="http://schemas.microsoft.com/office/drawing/2014/main" id="{413C5739-40B5-B986-0A8F-C60620FA105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14106525" y="333375"/>
            <a:ext cx="257175" cy="257175"/>
          </a:xfrm>
          <a:prstGeom prst="rect">
            <a:avLst/>
          </a:prstGeom>
        </xdr:spPr>
      </xdr:pic>
      <xdr:sp macro="" textlink="">
        <xdr:nvSpPr>
          <xdr:cNvPr id="14" name="CaixaDeTexto 13">
            <a:extLst>
              <a:ext uri="{FF2B5EF4-FFF2-40B4-BE49-F238E27FC236}">
                <a16:creationId xmlns:a16="http://schemas.microsoft.com/office/drawing/2014/main" id="{F8C0C4AB-CD1C-035A-DDF7-8986F595585A}"/>
              </a:ext>
            </a:extLst>
          </xdr:cNvPr>
          <xdr:cNvSpPr txBox="1"/>
        </xdr:nvSpPr>
        <xdr:spPr>
          <a:xfrm>
            <a:off x="14554200" y="323850"/>
            <a:ext cx="2400300" cy="2857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200" b="0">
                <a:solidFill>
                  <a:srgbClr val="FFFFFF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01/01/2025 - 31/12/2025</a:t>
            </a:r>
          </a:p>
        </xdr:txBody>
      </xdr:sp>
      <xdr:pic>
        <xdr:nvPicPr>
          <xdr:cNvPr id="16" name="Gráfico 15" descr="Acento Circunflexo para Baixo com preenchimento sólido">
            <a:extLst>
              <a:ext uri="{FF2B5EF4-FFF2-40B4-BE49-F238E27FC236}">
                <a16:creationId xmlns:a16="http://schemas.microsoft.com/office/drawing/2014/main" id="{DA7ED64C-D9BF-7780-47A2-F91BFDA5291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16897350" y="323850"/>
            <a:ext cx="333375" cy="333375"/>
          </a:xfrm>
          <a:prstGeom prst="rect">
            <a:avLst/>
          </a:prstGeom>
        </xdr:spPr>
      </xdr:pic>
    </xdr:grpSp>
    <xdr:clientData/>
  </xdr:twoCellAnchor>
  <xdr:twoCellAnchor editAs="absolute">
    <xdr:from>
      <xdr:col>19</xdr:col>
      <xdr:colOff>457200</xdr:colOff>
      <xdr:row>11</xdr:row>
      <xdr:rowOff>123826</xdr:rowOff>
    </xdr:from>
    <xdr:to>
      <xdr:col>28</xdr:col>
      <xdr:colOff>457200</xdr:colOff>
      <xdr:row>24</xdr:row>
      <xdr:rowOff>28575</xdr:rowOff>
    </xdr:to>
    <xdr:sp macro="" textlink="">
      <xdr:nvSpPr>
        <xdr:cNvPr id="25" name="Retângulo: Cantos Arredondados 24">
          <a:extLst>
            <a:ext uri="{FF2B5EF4-FFF2-40B4-BE49-F238E27FC236}">
              <a16:creationId xmlns:a16="http://schemas.microsoft.com/office/drawing/2014/main" id="{A8771550-AED4-8DB8-F73A-875804C538C0}"/>
            </a:ext>
          </a:extLst>
        </xdr:cNvPr>
        <xdr:cNvSpPr/>
      </xdr:nvSpPr>
      <xdr:spPr>
        <a:xfrm>
          <a:off x="12039600" y="2219326"/>
          <a:ext cx="5486400" cy="2381249"/>
        </a:xfrm>
        <a:prstGeom prst="roundRect">
          <a:avLst/>
        </a:prstGeom>
        <a:solidFill>
          <a:srgbClr val="1A1A1A"/>
        </a:solidFill>
        <a:ln>
          <a:solidFill>
            <a:srgbClr val="333333"/>
          </a:solidFill>
        </a:ln>
        <a:effectLst>
          <a:outerShdw blurRad="50800" dist="50800" dir="1800000" algn="tl" rotWithShape="0">
            <a:srgbClr val="16A34A">
              <a:alpha val="77000"/>
            </a:srgbClr>
          </a:outerShdw>
          <a:reflection stA="45000" endPos="4000" dist="50800" dir="5400000" sy="-100000" algn="bl" rotWithShape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4</xdr:col>
      <xdr:colOff>285751</xdr:colOff>
      <xdr:row>11</xdr:row>
      <xdr:rowOff>133349</xdr:rowOff>
    </xdr:from>
    <xdr:to>
      <xdr:col>19</xdr:col>
      <xdr:colOff>0</xdr:colOff>
      <xdr:row>24</xdr:row>
      <xdr:rowOff>95250</xdr:rowOff>
    </xdr:to>
    <xdr:sp macro="" textlink="">
      <xdr:nvSpPr>
        <xdr:cNvPr id="26" name="Retângulo: Cantos Arredondados 25">
          <a:extLst>
            <a:ext uri="{FF2B5EF4-FFF2-40B4-BE49-F238E27FC236}">
              <a16:creationId xmlns:a16="http://schemas.microsoft.com/office/drawing/2014/main" id="{E7FC2BBF-67A9-4568-8BC0-A6D795166C91}"/>
            </a:ext>
          </a:extLst>
        </xdr:cNvPr>
        <xdr:cNvSpPr/>
      </xdr:nvSpPr>
      <xdr:spPr>
        <a:xfrm>
          <a:off x="2724151" y="2228849"/>
          <a:ext cx="8858249" cy="2438401"/>
        </a:xfrm>
        <a:prstGeom prst="roundRect">
          <a:avLst/>
        </a:prstGeom>
        <a:solidFill>
          <a:srgbClr val="1A1A1A"/>
        </a:solidFill>
        <a:ln>
          <a:solidFill>
            <a:srgbClr val="333333"/>
          </a:solidFill>
        </a:ln>
        <a:effectLst>
          <a:outerShdw blurRad="50800" dist="38100" dir="12600000" algn="br" rotWithShape="0">
            <a:srgbClr val="16A34A">
              <a:alpha val="77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4</xdr:col>
      <xdr:colOff>314325</xdr:colOff>
      <xdr:row>25</xdr:row>
      <xdr:rowOff>95250</xdr:rowOff>
    </xdr:from>
    <xdr:to>
      <xdr:col>13</xdr:col>
      <xdr:colOff>133350</xdr:colOff>
      <xdr:row>37</xdr:row>
      <xdr:rowOff>0</xdr:rowOff>
    </xdr:to>
    <xdr:sp macro="" textlink="">
      <xdr:nvSpPr>
        <xdr:cNvPr id="27" name="Retângulo: Cantos Arredondados 26">
          <a:extLst>
            <a:ext uri="{FF2B5EF4-FFF2-40B4-BE49-F238E27FC236}">
              <a16:creationId xmlns:a16="http://schemas.microsoft.com/office/drawing/2014/main" id="{D2B1BD80-7D9F-4568-A626-628D59D35B85}"/>
            </a:ext>
          </a:extLst>
        </xdr:cNvPr>
        <xdr:cNvSpPr/>
      </xdr:nvSpPr>
      <xdr:spPr>
        <a:xfrm>
          <a:off x="2752725" y="4857750"/>
          <a:ext cx="5305425" cy="2190750"/>
        </a:xfrm>
        <a:prstGeom prst="roundRect">
          <a:avLst/>
        </a:prstGeom>
        <a:solidFill>
          <a:srgbClr val="1A1A1A"/>
        </a:solidFill>
        <a:ln>
          <a:solidFill>
            <a:srgbClr val="333333"/>
          </a:solidFill>
        </a:ln>
        <a:effectLst>
          <a:outerShdw blurRad="50800" dist="38100" dir="12600000" algn="br" rotWithShape="0">
            <a:srgbClr val="16A34A">
              <a:alpha val="77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13</xdr:col>
      <xdr:colOff>371475</xdr:colOff>
      <xdr:row>25</xdr:row>
      <xdr:rowOff>76200</xdr:rowOff>
    </xdr:from>
    <xdr:to>
      <xdr:col>21</xdr:col>
      <xdr:colOff>304800</xdr:colOff>
      <xdr:row>36</xdr:row>
      <xdr:rowOff>171450</xdr:rowOff>
    </xdr:to>
    <xdr:sp macro="" textlink="">
      <xdr:nvSpPr>
        <xdr:cNvPr id="28" name="Retângulo: Cantos Arredondados 27">
          <a:extLst>
            <a:ext uri="{FF2B5EF4-FFF2-40B4-BE49-F238E27FC236}">
              <a16:creationId xmlns:a16="http://schemas.microsoft.com/office/drawing/2014/main" id="{37A73E3D-4D71-4F26-997F-851F971F7EE7}"/>
            </a:ext>
          </a:extLst>
        </xdr:cNvPr>
        <xdr:cNvSpPr/>
      </xdr:nvSpPr>
      <xdr:spPr>
        <a:xfrm>
          <a:off x="8296275" y="4838700"/>
          <a:ext cx="4810125" cy="2190750"/>
        </a:xfrm>
        <a:prstGeom prst="roundRect">
          <a:avLst/>
        </a:prstGeom>
        <a:solidFill>
          <a:srgbClr val="1A1A1A"/>
        </a:solidFill>
        <a:ln>
          <a:solidFill>
            <a:srgbClr val="333333"/>
          </a:solidFill>
        </a:ln>
        <a:effectLst>
          <a:outerShdw blurRad="50800" dist="50800" dir="2400000" algn="tl" rotWithShape="0">
            <a:srgbClr val="16A34A">
              <a:alpha val="77000"/>
            </a:srgbClr>
          </a:outerShdw>
          <a:reflection stA="45000" endPos="4000" dist="50800" dir="5400000" sy="-100000" algn="bl" rotWithShape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22</xdr:col>
      <xdr:colOff>0</xdr:colOff>
      <xdr:row>25</xdr:row>
      <xdr:rowOff>95250</xdr:rowOff>
    </xdr:from>
    <xdr:to>
      <xdr:col>28</xdr:col>
      <xdr:colOff>419100</xdr:colOff>
      <xdr:row>37</xdr:row>
      <xdr:rowOff>0</xdr:rowOff>
    </xdr:to>
    <xdr:sp macro="" textlink="">
      <xdr:nvSpPr>
        <xdr:cNvPr id="29" name="Retângulo: Cantos Arredondados 28">
          <a:extLst>
            <a:ext uri="{FF2B5EF4-FFF2-40B4-BE49-F238E27FC236}">
              <a16:creationId xmlns:a16="http://schemas.microsoft.com/office/drawing/2014/main" id="{E85E3D67-E33E-4959-9EA5-E0CBD7D3A055}"/>
            </a:ext>
          </a:extLst>
        </xdr:cNvPr>
        <xdr:cNvSpPr/>
      </xdr:nvSpPr>
      <xdr:spPr>
        <a:xfrm>
          <a:off x="13411200" y="4857750"/>
          <a:ext cx="4076700" cy="2190750"/>
        </a:xfrm>
        <a:prstGeom prst="roundRect">
          <a:avLst/>
        </a:prstGeom>
        <a:solidFill>
          <a:srgbClr val="1A1A1A"/>
        </a:solidFill>
        <a:ln>
          <a:solidFill>
            <a:srgbClr val="333333"/>
          </a:solidFill>
        </a:ln>
        <a:effectLst>
          <a:outerShdw blurRad="50800" dist="50800" dir="2400000" algn="tl" rotWithShape="0">
            <a:srgbClr val="16A34A">
              <a:alpha val="77000"/>
            </a:srgbClr>
          </a:outerShdw>
          <a:reflection stA="45000" endPos="4000" dist="50800" dir="5400000" sy="-100000" algn="bl" rotWithShape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323850</xdr:colOff>
      <xdr:row>4</xdr:row>
      <xdr:rowOff>180975</xdr:rowOff>
    </xdr:from>
    <xdr:to>
      <xdr:col>10</xdr:col>
      <xdr:colOff>104775</xdr:colOff>
      <xdr:row>11</xdr:row>
      <xdr:rowOff>28575</xdr:rowOff>
    </xdr:to>
    <xdr:grpSp>
      <xdr:nvGrpSpPr>
        <xdr:cNvPr id="65" name="Agrupar 64">
          <a:extLst>
            <a:ext uri="{FF2B5EF4-FFF2-40B4-BE49-F238E27FC236}">
              <a16:creationId xmlns:a16="http://schemas.microsoft.com/office/drawing/2014/main" id="{92B41DB9-45CD-5F07-BF93-0143D69536AC}"/>
            </a:ext>
          </a:extLst>
        </xdr:cNvPr>
        <xdr:cNvGrpSpPr/>
      </xdr:nvGrpSpPr>
      <xdr:grpSpPr>
        <a:xfrm>
          <a:off x="2762250" y="942975"/>
          <a:ext cx="3438525" cy="1181100"/>
          <a:chOff x="2762250" y="942975"/>
          <a:chExt cx="3438525" cy="1181100"/>
        </a:xfrm>
      </xdr:grpSpPr>
      <xdr:sp macro="" textlink="">
        <xdr:nvSpPr>
          <xdr:cNvPr id="18" name="Retângulo: Cantos Arredondados 17">
            <a:extLst>
              <a:ext uri="{FF2B5EF4-FFF2-40B4-BE49-F238E27FC236}">
                <a16:creationId xmlns:a16="http://schemas.microsoft.com/office/drawing/2014/main" id="{51511D4E-8B83-BB68-D6B3-3789E49C2309}"/>
              </a:ext>
            </a:extLst>
          </xdr:cNvPr>
          <xdr:cNvSpPr/>
        </xdr:nvSpPr>
        <xdr:spPr>
          <a:xfrm>
            <a:off x="2762250" y="942975"/>
            <a:ext cx="3438525" cy="1181100"/>
          </a:xfrm>
          <a:prstGeom prst="roundRect">
            <a:avLst/>
          </a:prstGeom>
          <a:solidFill>
            <a:srgbClr val="1A1A1A">
              <a:alpha val="70000"/>
            </a:srgbClr>
          </a:solidFill>
          <a:ln>
            <a:solidFill>
              <a:srgbClr val="333333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endParaRPr lang="pt-BR" sz="1100"/>
          </a:p>
        </xdr:txBody>
      </xdr:sp>
      <xdr:grpSp>
        <xdr:nvGrpSpPr>
          <xdr:cNvPr id="40" name="Agrupar 39">
            <a:extLst>
              <a:ext uri="{FF2B5EF4-FFF2-40B4-BE49-F238E27FC236}">
                <a16:creationId xmlns:a16="http://schemas.microsoft.com/office/drawing/2014/main" id="{C53F0EF0-14DB-D9B7-4D94-744626A5422D}"/>
              </a:ext>
            </a:extLst>
          </xdr:cNvPr>
          <xdr:cNvGrpSpPr/>
        </xdr:nvGrpSpPr>
        <xdr:grpSpPr>
          <a:xfrm>
            <a:off x="2905125" y="952501"/>
            <a:ext cx="752475" cy="761999"/>
            <a:chOff x="2905125" y="952501"/>
            <a:chExt cx="752475" cy="761999"/>
          </a:xfrm>
        </xdr:grpSpPr>
        <xdr:sp macro="" textlink="">
          <xdr:nvSpPr>
            <xdr:cNvPr id="31" name="Fluxograma: Conector 30">
              <a:extLst>
                <a:ext uri="{FF2B5EF4-FFF2-40B4-BE49-F238E27FC236}">
                  <a16:creationId xmlns:a16="http://schemas.microsoft.com/office/drawing/2014/main" id="{CA5B3DED-373F-593C-E841-A80DAD772902}"/>
                </a:ext>
              </a:extLst>
            </xdr:cNvPr>
            <xdr:cNvSpPr/>
          </xdr:nvSpPr>
          <xdr:spPr>
            <a:xfrm>
              <a:off x="2905125" y="981075"/>
              <a:ext cx="752475" cy="733425"/>
            </a:xfrm>
            <a:prstGeom prst="flowChartConnector">
              <a:avLst/>
            </a:prstGeom>
            <a:solidFill>
              <a:srgbClr val="107C10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pic>
          <xdr:nvPicPr>
            <xdr:cNvPr id="39" name="Gráfico 38" descr="Usuário com preenchimento sólido">
              <a:extLst>
                <a:ext uri="{FF2B5EF4-FFF2-40B4-BE49-F238E27FC236}">
                  <a16:creationId xmlns:a16="http://schemas.microsoft.com/office/drawing/2014/main" id="{FBED3E3A-CBA5-71B7-7ABA-98079EC2528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>
              <a:extLst>
                <a:ext uri="{96DAC541-7B7A-43D3-8B79-37D633B846F1}">
                  <asvg:svgBlip xmlns:asvg="http://schemas.microsoft.com/office/drawing/2016/SVG/main" r:embed="rId8"/>
                </a:ext>
              </a:extLst>
            </a:blip>
            <a:stretch>
              <a:fillRect/>
            </a:stretch>
          </xdr:blipFill>
          <xdr:spPr>
            <a:xfrm>
              <a:off x="2924176" y="952501"/>
              <a:ext cx="704850" cy="704850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10</xdr:col>
      <xdr:colOff>390525</xdr:colOff>
      <xdr:row>4</xdr:row>
      <xdr:rowOff>161925</xdr:rowOff>
    </xdr:from>
    <xdr:to>
      <xdr:col>16</xdr:col>
      <xdr:colOff>171450</xdr:colOff>
      <xdr:row>11</xdr:row>
      <xdr:rowOff>9525</xdr:rowOff>
    </xdr:to>
    <xdr:grpSp>
      <xdr:nvGrpSpPr>
        <xdr:cNvPr id="66" name="Agrupar 65">
          <a:extLst>
            <a:ext uri="{FF2B5EF4-FFF2-40B4-BE49-F238E27FC236}">
              <a16:creationId xmlns:a16="http://schemas.microsoft.com/office/drawing/2014/main" id="{126C932D-D437-C222-7F31-52D4C92499D9}"/>
            </a:ext>
          </a:extLst>
        </xdr:cNvPr>
        <xdr:cNvGrpSpPr/>
      </xdr:nvGrpSpPr>
      <xdr:grpSpPr>
        <a:xfrm>
          <a:off x="6486525" y="923925"/>
          <a:ext cx="3438525" cy="1181100"/>
          <a:chOff x="6486525" y="923925"/>
          <a:chExt cx="3438525" cy="1181100"/>
        </a:xfrm>
      </xdr:grpSpPr>
      <xdr:sp macro="" textlink="">
        <xdr:nvSpPr>
          <xdr:cNvPr id="22" name="Retângulo: Cantos Arredondados 21">
            <a:extLst>
              <a:ext uri="{FF2B5EF4-FFF2-40B4-BE49-F238E27FC236}">
                <a16:creationId xmlns:a16="http://schemas.microsoft.com/office/drawing/2014/main" id="{436601D4-3E6E-454A-A9C2-DC6793B186E1}"/>
              </a:ext>
            </a:extLst>
          </xdr:cNvPr>
          <xdr:cNvSpPr/>
        </xdr:nvSpPr>
        <xdr:spPr>
          <a:xfrm>
            <a:off x="6486525" y="923925"/>
            <a:ext cx="3438525" cy="1181100"/>
          </a:xfrm>
          <a:prstGeom prst="roundRect">
            <a:avLst/>
          </a:prstGeom>
          <a:solidFill>
            <a:srgbClr val="1A1A1A">
              <a:alpha val="70000"/>
            </a:srgbClr>
          </a:solidFill>
          <a:ln>
            <a:solidFill>
              <a:srgbClr val="333333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endParaRPr lang="pt-BR" sz="1100"/>
          </a:p>
        </xdr:txBody>
      </xdr:sp>
      <xdr:grpSp>
        <xdr:nvGrpSpPr>
          <xdr:cNvPr id="43" name="Agrupar 42">
            <a:extLst>
              <a:ext uri="{FF2B5EF4-FFF2-40B4-BE49-F238E27FC236}">
                <a16:creationId xmlns:a16="http://schemas.microsoft.com/office/drawing/2014/main" id="{048464AB-0921-5016-B27F-540FB6BC4508}"/>
              </a:ext>
            </a:extLst>
          </xdr:cNvPr>
          <xdr:cNvGrpSpPr/>
        </xdr:nvGrpSpPr>
        <xdr:grpSpPr>
          <a:xfrm>
            <a:off x="6572250" y="981075"/>
            <a:ext cx="752475" cy="733425"/>
            <a:chOff x="6572250" y="981075"/>
            <a:chExt cx="752475" cy="733425"/>
          </a:xfrm>
        </xdr:grpSpPr>
        <xdr:sp macro="" textlink="">
          <xdr:nvSpPr>
            <xdr:cNvPr id="32" name="Fluxograma: Conector 31">
              <a:extLst>
                <a:ext uri="{FF2B5EF4-FFF2-40B4-BE49-F238E27FC236}">
                  <a16:creationId xmlns:a16="http://schemas.microsoft.com/office/drawing/2014/main" id="{5AB321E3-94ED-4DBB-BEEE-CE6A11DEB631}"/>
                </a:ext>
              </a:extLst>
            </xdr:cNvPr>
            <xdr:cNvSpPr/>
          </xdr:nvSpPr>
          <xdr:spPr>
            <a:xfrm>
              <a:off x="6572250" y="981075"/>
              <a:ext cx="752475" cy="733425"/>
            </a:xfrm>
            <a:prstGeom prst="flowChartConnector">
              <a:avLst/>
            </a:prstGeom>
            <a:solidFill>
              <a:srgbClr val="107C10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pic>
          <xdr:nvPicPr>
            <xdr:cNvPr id="42" name="Gráfico 41" descr="Dólar com preenchimento sólido">
              <a:extLst>
                <a:ext uri="{FF2B5EF4-FFF2-40B4-BE49-F238E27FC236}">
                  <a16:creationId xmlns:a16="http://schemas.microsoft.com/office/drawing/2014/main" id="{A2A03D28-DB85-B5E0-5EFC-29D93ACA8F3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6619875" y="1019175"/>
              <a:ext cx="638175" cy="638175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23</xdr:col>
      <xdr:colOff>0</xdr:colOff>
      <xdr:row>4</xdr:row>
      <xdr:rowOff>152400</xdr:rowOff>
    </xdr:from>
    <xdr:to>
      <xdr:col>28</xdr:col>
      <xdr:colOff>390525</xdr:colOff>
      <xdr:row>11</xdr:row>
      <xdr:rowOff>0</xdr:rowOff>
    </xdr:to>
    <xdr:grpSp>
      <xdr:nvGrpSpPr>
        <xdr:cNvPr id="68" name="Agrupar 67">
          <a:extLst>
            <a:ext uri="{FF2B5EF4-FFF2-40B4-BE49-F238E27FC236}">
              <a16:creationId xmlns:a16="http://schemas.microsoft.com/office/drawing/2014/main" id="{62852450-1DCD-A3EC-D814-EC919C9A0FA3}"/>
            </a:ext>
          </a:extLst>
        </xdr:cNvPr>
        <xdr:cNvGrpSpPr/>
      </xdr:nvGrpSpPr>
      <xdr:grpSpPr>
        <a:xfrm>
          <a:off x="14020800" y="914400"/>
          <a:ext cx="3438525" cy="1181100"/>
          <a:chOff x="13849350" y="923925"/>
          <a:chExt cx="3438525" cy="1181100"/>
        </a:xfrm>
      </xdr:grpSpPr>
      <xdr:sp macro="" textlink="">
        <xdr:nvSpPr>
          <xdr:cNvPr id="24" name="Retângulo: Cantos Arredondados 23">
            <a:extLst>
              <a:ext uri="{FF2B5EF4-FFF2-40B4-BE49-F238E27FC236}">
                <a16:creationId xmlns:a16="http://schemas.microsoft.com/office/drawing/2014/main" id="{A3BA3ED7-95DB-4652-B307-F6B7BD1E2F06}"/>
              </a:ext>
            </a:extLst>
          </xdr:cNvPr>
          <xdr:cNvSpPr/>
        </xdr:nvSpPr>
        <xdr:spPr>
          <a:xfrm>
            <a:off x="13849350" y="923925"/>
            <a:ext cx="3438525" cy="1181100"/>
          </a:xfrm>
          <a:prstGeom prst="roundRect">
            <a:avLst/>
          </a:prstGeom>
          <a:solidFill>
            <a:srgbClr val="1A1A1A">
              <a:alpha val="70000"/>
            </a:srgbClr>
          </a:solidFill>
          <a:ln>
            <a:solidFill>
              <a:srgbClr val="333333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endParaRPr lang="pt-BR" sz="1100"/>
          </a:p>
        </xdr:txBody>
      </xdr:sp>
      <xdr:grpSp>
        <xdr:nvGrpSpPr>
          <xdr:cNvPr id="57" name="Agrupar 56">
            <a:extLst>
              <a:ext uri="{FF2B5EF4-FFF2-40B4-BE49-F238E27FC236}">
                <a16:creationId xmlns:a16="http://schemas.microsoft.com/office/drawing/2014/main" id="{95333BBC-BCE7-4F94-36AA-BC705E86CED8}"/>
              </a:ext>
            </a:extLst>
          </xdr:cNvPr>
          <xdr:cNvGrpSpPr/>
        </xdr:nvGrpSpPr>
        <xdr:grpSpPr>
          <a:xfrm>
            <a:off x="13963650" y="952500"/>
            <a:ext cx="752475" cy="733425"/>
            <a:chOff x="13963650" y="952500"/>
            <a:chExt cx="752475" cy="733425"/>
          </a:xfrm>
        </xdr:grpSpPr>
        <xdr:sp macro="" textlink="">
          <xdr:nvSpPr>
            <xdr:cNvPr id="34" name="Fluxograma: Conector 33">
              <a:extLst>
                <a:ext uri="{FF2B5EF4-FFF2-40B4-BE49-F238E27FC236}">
                  <a16:creationId xmlns:a16="http://schemas.microsoft.com/office/drawing/2014/main" id="{94C96D35-D9B7-461B-BD03-EA81B8024201}"/>
                </a:ext>
              </a:extLst>
            </xdr:cNvPr>
            <xdr:cNvSpPr/>
          </xdr:nvSpPr>
          <xdr:spPr>
            <a:xfrm>
              <a:off x="13963650" y="952500"/>
              <a:ext cx="752475" cy="733425"/>
            </a:xfrm>
            <a:prstGeom prst="flowChartConnector">
              <a:avLst/>
            </a:prstGeom>
            <a:solidFill>
              <a:srgbClr val="107C10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pic>
          <xdr:nvPicPr>
            <xdr:cNvPr id="53" name="Gráfico 52" descr="Atualizar com preenchimento sólido">
              <a:extLst>
                <a:ext uri="{FF2B5EF4-FFF2-40B4-BE49-F238E27FC236}">
                  <a16:creationId xmlns:a16="http://schemas.microsoft.com/office/drawing/2014/main" id="{1526F48F-7572-EF48-7C59-445228E3DF0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14020801" y="1000126"/>
              <a:ext cx="628650" cy="628650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16</xdr:col>
      <xdr:colOff>447675</xdr:colOff>
      <xdr:row>4</xdr:row>
      <xdr:rowOff>161925</xdr:rowOff>
    </xdr:from>
    <xdr:to>
      <xdr:col>22</xdr:col>
      <xdr:colOff>228600</xdr:colOff>
      <xdr:row>11</xdr:row>
      <xdr:rowOff>9525</xdr:rowOff>
    </xdr:to>
    <xdr:grpSp>
      <xdr:nvGrpSpPr>
        <xdr:cNvPr id="67" name="Agrupar 66">
          <a:extLst>
            <a:ext uri="{FF2B5EF4-FFF2-40B4-BE49-F238E27FC236}">
              <a16:creationId xmlns:a16="http://schemas.microsoft.com/office/drawing/2014/main" id="{2BCA340F-7752-E5E3-0050-7C587AF17DF4}"/>
            </a:ext>
          </a:extLst>
        </xdr:cNvPr>
        <xdr:cNvGrpSpPr/>
      </xdr:nvGrpSpPr>
      <xdr:grpSpPr>
        <a:xfrm>
          <a:off x="10201275" y="923925"/>
          <a:ext cx="3438525" cy="1181100"/>
          <a:chOff x="10201275" y="923925"/>
          <a:chExt cx="3438525" cy="1181100"/>
        </a:xfrm>
      </xdr:grpSpPr>
      <xdr:sp macro="" textlink="">
        <xdr:nvSpPr>
          <xdr:cNvPr id="23" name="Retângulo: Cantos Arredondados 22">
            <a:extLst>
              <a:ext uri="{FF2B5EF4-FFF2-40B4-BE49-F238E27FC236}">
                <a16:creationId xmlns:a16="http://schemas.microsoft.com/office/drawing/2014/main" id="{E0A98D4F-FA45-4E46-8997-BBF88F06FF6F}"/>
              </a:ext>
            </a:extLst>
          </xdr:cNvPr>
          <xdr:cNvSpPr/>
        </xdr:nvSpPr>
        <xdr:spPr>
          <a:xfrm>
            <a:off x="10201275" y="923925"/>
            <a:ext cx="3438525" cy="1181100"/>
          </a:xfrm>
          <a:prstGeom prst="roundRect">
            <a:avLst/>
          </a:prstGeom>
          <a:solidFill>
            <a:srgbClr val="1A1A1A">
              <a:alpha val="70000"/>
            </a:srgbClr>
          </a:solidFill>
          <a:ln>
            <a:solidFill>
              <a:srgbClr val="333333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endParaRPr lang="pt-BR" sz="1100"/>
          </a:p>
        </xdr:txBody>
      </xdr:sp>
      <xdr:grpSp>
        <xdr:nvGrpSpPr>
          <xdr:cNvPr id="56" name="Agrupar 55">
            <a:extLst>
              <a:ext uri="{FF2B5EF4-FFF2-40B4-BE49-F238E27FC236}">
                <a16:creationId xmlns:a16="http://schemas.microsoft.com/office/drawing/2014/main" id="{4FC9232F-D917-8315-18EB-283D14A97E90}"/>
              </a:ext>
            </a:extLst>
          </xdr:cNvPr>
          <xdr:cNvGrpSpPr/>
        </xdr:nvGrpSpPr>
        <xdr:grpSpPr>
          <a:xfrm>
            <a:off x="10296525" y="981075"/>
            <a:ext cx="752475" cy="733425"/>
            <a:chOff x="10296525" y="981075"/>
            <a:chExt cx="752475" cy="733425"/>
          </a:xfrm>
        </xdr:grpSpPr>
        <xdr:sp macro="" textlink="">
          <xdr:nvSpPr>
            <xdr:cNvPr id="33" name="Fluxograma: Conector 32">
              <a:extLst>
                <a:ext uri="{FF2B5EF4-FFF2-40B4-BE49-F238E27FC236}">
                  <a16:creationId xmlns:a16="http://schemas.microsoft.com/office/drawing/2014/main" id="{9F517F61-421A-4111-9D87-F600C433B5DC}"/>
                </a:ext>
              </a:extLst>
            </xdr:cNvPr>
            <xdr:cNvSpPr/>
          </xdr:nvSpPr>
          <xdr:spPr>
            <a:xfrm>
              <a:off x="10296525" y="981075"/>
              <a:ext cx="752475" cy="733425"/>
            </a:xfrm>
            <a:prstGeom prst="flowChartConnector">
              <a:avLst/>
            </a:prstGeom>
            <a:solidFill>
              <a:srgbClr val="107C10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pic>
          <xdr:nvPicPr>
            <xdr:cNvPr id="55" name="Gráfico 54" descr="Carrinho de compras com preenchimento sólido">
              <a:extLst>
                <a:ext uri="{FF2B5EF4-FFF2-40B4-BE49-F238E27FC236}">
                  <a16:creationId xmlns:a16="http://schemas.microsoft.com/office/drawing/2014/main" id="{8E5FF0EB-A0A4-AF2B-8634-6AA7037E41E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3">
              <a:extLst>
                <a:ext uri="{96DAC541-7B7A-43D3-8B79-37D633B846F1}">
                  <asvg:svgBlip xmlns:asvg="http://schemas.microsoft.com/office/drawing/2016/SVG/main" r:embed="rId14"/>
                </a:ext>
              </a:extLst>
            </a:blip>
            <a:stretch>
              <a:fillRect/>
            </a:stretch>
          </xdr:blipFill>
          <xdr:spPr>
            <a:xfrm>
              <a:off x="10379850" y="1045350"/>
              <a:ext cx="583425" cy="583425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4</xdr:col>
      <xdr:colOff>247651</xdr:colOff>
      <xdr:row>38</xdr:row>
      <xdr:rowOff>0</xdr:rowOff>
    </xdr:from>
    <xdr:to>
      <xdr:col>28</xdr:col>
      <xdr:colOff>371475</xdr:colOff>
      <xdr:row>46</xdr:row>
      <xdr:rowOff>0</xdr:rowOff>
    </xdr:to>
    <xdr:grpSp>
      <xdr:nvGrpSpPr>
        <xdr:cNvPr id="64" name="Agrupar 63">
          <a:extLst>
            <a:ext uri="{FF2B5EF4-FFF2-40B4-BE49-F238E27FC236}">
              <a16:creationId xmlns:a16="http://schemas.microsoft.com/office/drawing/2014/main" id="{08BA6145-890C-2270-7187-5306CABC6BFB}"/>
            </a:ext>
          </a:extLst>
        </xdr:cNvPr>
        <xdr:cNvGrpSpPr/>
      </xdr:nvGrpSpPr>
      <xdr:grpSpPr>
        <a:xfrm>
          <a:off x="2686051" y="7239000"/>
          <a:ext cx="14754224" cy="1524000"/>
          <a:chOff x="2686051" y="6991350"/>
          <a:chExt cx="14754224" cy="1543050"/>
        </a:xfrm>
      </xdr:grpSpPr>
      <xdr:sp macro="" textlink="">
        <xdr:nvSpPr>
          <xdr:cNvPr id="30" name="Retângulo: Cantos Arredondados 29">
            <a:extLst>
              <a:ext uri="{FF2B5EF4-FFF2-40B4-BE49-F238E27FC236}">
                <a16:creationId xmlns:a16="http://schemas.microsoft.com/office/drawing/2014/main" id="{9A94C623-7C27-4E5D-9666-0BE302E12B7C}"/>
              </a:ext>
            </a:extLst>
          </xdr:cNvPr>
          <xdr:cNvSpPr/>
        </xdr:nvSpPr>
        <xdr:spPr>
          <a:xfrm>
            <a:off x="2686051" y="6991350"/>
            <a:ext cx="14754224" cy="1533525"/>
          </a:xfrm>
          <a:prstGeom prst="roundRect">
            <a:avLst/>
          </a:prstGeom>
          <a:solidFill>
            <a:srgbClr val="1A1A1A"/>
          </a:solidFill>
          <a:ln>
            <a:solidFill>
              <a:srgbClr val="333333"/>
            </a:solidFill>
          </a:ln>
          <a:effectLst>
            <a:glow rad="50800">
              <a:schemeClr val="accent3">
                <a:satMod val="175000"/>
                <a:alpha val="16000"/>
              </a:schemeClr>
            </a:glow>
            <a:outerShdw blurRad="50800" dist="38100" dir="2700000" algn="tl" rotWithShape="0">
              <a:srgbClr val="16A34A">
                <a:alpha val="69000"/>
              </a:srgbClr>
            </a:outerShdw>
            <a:reflection stA="45000" endPos="4000" dist="50800" dir="5400000" sy="-100000" algn="bl" rotWithShape="0"/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pSp>
        <xdr:nvGrpSpPr>
          <xdr:cNvPr id="47" name="Agrupar 46">
            <a:extLst>
              <a:ext uri="{FF2B5EF4-FFF2-40B4-BE49-F238E27FC236}">
                <a16:creationId xmlns:a16="http://schemas.microsoft.com/office/drawing/2014/main" id="{016E0FC7-6FE7-D755-35C1-FE72CF16510F}"/>
              </a:ext>
            </a:extLst>
          </xdr:cNvPr>
          <xdr:cNvGrpSpPr/>
        </xdr:nvGrpSpPr>
        <xdr:grpSpPr>
          <a:xfrm>
            <a:off x="2962275" y="7305675"/>
            <a:ext cx="752475" cy="733425"/>
            <a:chOff x="2933700" y="7362825"/>
            <a:chExt cx="752475" cy="733425"/>
          </a:xfrm>
        </xdr:grpSpPr>
        <xdr:sp macro="" textlink="">
          <xdr:nvSpPr>
            <xdr:cNvPr id="35" name="Fluxograma: Conector 34">
              <a:extLst>
                <a:ext uri="{FF2B5EF4-FFF2-40B4-BE49-F238E27FC236}">
                  <a16:creationId xmlns:a16="http://schemas.microsoft.com/office/drawing/2014/main" id="{70F68261-98C0-435C-8FEB-CF7F3C9A53B6}"/>
                </a:ext>
              </a:extLst>
            </xdr:cNvPr>
            <xdr:cNvSpPr/>
          </xdr:nvSpPr>
          <xdr:spPr>
            <a:xfrm>
              <a:off x="2933700" y="7362825"/>
              <a:ext cx="752475" cy="733425"/>
            </a:xfrm>
            <a:prstGeom prst="flowChartConnector">
              <a:avLst/>
            </a:prstGeom>
            <a:solidFill>
              <a:srgbClr val="107C10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46" name="Gráfico 44" descr="Marca com preenchimento sólido">
              <a:extLst>
                <a:ext uri="{FF2B5EF4-FFF2-40B4-BE49-F238E27FC236}">
                  <a16:creationId xmlns:a16="http://schemas.microsoft.com/office/drawing/2014/main" id="{90B8C0CC-FE42-0375-D89F-E0EFF0919DED}"/>
                </a:ext>
              </a:extLst>
            </xdr:cNvPr>
            <xdr:cNvSpPr/>
          </xdr:nvSpPr>
          <xdr:spPr>
            <a:xfrm flipH="1">
              <a:off x="3052067" y="7484963"/>
              <a:ext cx="472183" cy="516037"/>
            </a:xfrm>
            <a:custGeom>
              <a:avLst/>
              <a:gdLst>
                <a:gd name="csX0" fmla="*/ 152797 w 537178"/>
                <a:gd name="csY0" fmla="*/ 213916 h 567640"/>
                <a:gd name="csX1" fmla="*/ 122238 w 537178"/>
                <a:gd name="csY1" fmla="*/ 183356 h 567640"/>
                <a:gd name="csX2" fmla="*/ 136753 w 537178"/>
                <a:gd name="csY2" fmla="*/ 157381 h 567640"/>
                <a:gd name="csX3" fmla="*/ 137517 w 537178"/>
                <a:gd name="csY3" fmla="*/ 175716 h 567640"/>
                <a:gd name="csX4" fmla="*/ 152797 w 537178"/>
                <a:gd name="csY4" fmla="*/ 190996 h 567640"/>
                <a:gd name="csX5" fmla="*/ 168077 w 537178"/>
                <a:gd name="csY5" fmla="*/ 175716 h 567640"/>
                <a:gd name="csX6" fmla="*/ 167313 w 537178"/>
                <a:gd name="csY6" fmla="*/ 156617 h 567640"/>
                <a:gd name="csX7" fmla="*/ 183356 w 537178"/>
                <a:gd name="csY7" fmla="*/ 183356 h 567640"/>
                <a:gd name="csX8" fmla="*/ 152797 w 537178"/>
                <a:gd name="csY8" fmla="*/ 213916 h 567640"/>
                <a:gd name="csX9" fmla="*/ 528677 w 537178"/>
                <a:gd name="csY9" fmla="*/ 345321 h 567640"/>
                <a:gd name="csX10" fmla="*/ 314762 w 537178"/>
                <a:gd name="csY10" fmla="*/ 131405 h 567640"/>
                <a:gd name="csX11" fmla="*/ 293370 w 537178"/>
                <a:gd name="csY11" fmla="*/ 122238 h 567640"/>
                <a:gd name="csX12" fmla="*/ 161965 w 537178"/>
                <a:gd name="csY12" fmla="*/ 122238 h 567640"/>
                <a:gd name="csX13" fmla="*/ 110014 w 537178"/>
                <a:gd name="csY13" fmla="*/ 76398 h 567640"/>
                <a:gd name="csX14" fmla="*/ 83274 w 537178"/>
                <a:gd name="csY14" fmla="*/ 71815 h 567640"/>
                <a:gd name="csX15" fmla="*/ 30559 w 537178"/>
                <a:gd name="csY15" fmla="*/ 15280 h 567640"/>
                <a:gd name="csX16" fmla="*/ 15280 w 537178"/>
                <a:gd name="csY16" fmla="*/ 0 h 567640"/>
                <a:gd name="csX17" fmla="*/ 0 w 537178"/>
                <a:gd name="csY17" fmla="*/ 15280 h 567640"/>
                <a:gd name="csX18" fmla="*/ 78690 w 537178"/>
                <a:gd name="csY18" fmla="*/ 102374 h 567640"/>
                <a:gd name="csX19" fmla="*/ 104666 w 537178"/>
                <a:gd name="csY19" fmla="*/ 106958 h 567640"/>
                <a:gd name="csX20" fmla="*/ 131405 w 537178"/>
                <a:gd name="csY20" fmla="*/ 126821 h 567640"/>
                <a:gd name="csX21" fmla="*/ 92442 w 537178"/>
                <a:gd name="csY21" fmla="*/ 184120 h 567640"/>
                <a:gd name="csX22" fmla="*/ 92442 w 537178"/>
                <a:gd name="csY22" fmla="*/ 323929 h 567640"/>
                <a:gd name="csX23" fmla="*/ 101610 w 537178"/>
                <a:gd name="csY23" fmla="*/ 345321 h 567640"/>
                <a:gd name="csX24" fmla="*/ 315526 w 537178"/>
                <a:gd name="csY24" fmla="*/ 559237 h 567640"/>
                <a:gd name="csX25" fmla="*/ 336153 w 537178"/>
                <a:gd name="csY25" fmla="*/ 567640 h 567640"/>
                <a:gd name="csX26" fmla="*/ 357545 w 537178"/>
                <a:gd name="csY26" fmla="*/ 558473 h 567640"/>
                <a:gd name="csX27" fmla="*/ 527913 w 537178"/>
                <a:gd name="csY27" fmla="*/ 388104 h 567640"/>
                <a:gd name="csX28" fmla="*/ 528677 w 537178"/>
                <a:gd name="csY28" fmla="*/ 345321 h 567640"/>
              </a:gdLst>
              <a:ahLst/>
              <a:cxnLst>
                <a:cxn ang="0">
                  <a:pos x="csX0" y="csY0"/>
                </a:cxn>
                <a:cxn ang="0">
                  <a:pos x="csX1" y="csY1"/>
                </a:cxn>
                <a:cxn ang="0">
                  <a:pos x="csX2" y="csY2"/>
                </a:cxn>
                <a:cxn ang="0">
                  <a:pos x="csX3" y="csY3"/>
                </a:cxn>
                <a:cxn ang="0">
                  <a:pos x="csX4" y="csY4"/>
                </a:cxn>
                <a:cxn ang="0">
                  <a:pos x="csX5" y="csY5"/>
                </a:cxn>
                <a:cxn ang="0">
                  <a:pos x="csX6" y="csY6"/>
                </a:cxn>
                <a:cxn ang="0">
                  <a:pos x="csX7" y="csY7"/>
                </a:cxn>
                <a:cxn ang="0">
                  <a:pos x="csX8" y="csY8"/>
                </a:cxn>
                <a:cxn ang="0">
                  <a:pos x="csX9" y="csY9"/>
                </a:cxn>
                <a:cxn ang="0">
                  <a:pos x="csX10" y="csY10"/>
                </a:cxn>
                <a:cxn ang="0">
                  <a:pos x="csX11" y="csY11"/>
                </a:cxn>
                <a:cxn ang="0">
                  <a:pos x="csX12" y="csY12"/>
                </a:cxn>
                <a:cxn ang="0">
                  <a:pos x="csX13" y="csY13"/>
                </a:cxn>
                <a:cxn ang="0">
                  <a:pos x="csX14" y="csY14"/>
                </a:cxn>
                <a:cxn ang="0">
                  <a:pos x="csX15" y="csY15"/>
                </a:cxn>
                <a:cxn ang="0">
                  <a:pos x="csX16" y="csY16"/>
                </a:cxn>
                <a:cxn ang="0">
                  <a:pos x="csX17" y="csY17"/>
                </a:cxn>
                <a:cxn ang="0">
                  <a:pos x="csX18" y="csY18"/>
                </a:cxn>
                <a:cxn ang="0">
                  <a:pos x="csX19" y="csY19"/>
                </a:cxn>
                <a:cxn ang="0">
                  <a:pos x="csX20" y="csY20"/>
                </a:cxn>
                <a:cxn ang="0">
                  <a:pos x="csX21" y="csY21"/>
                </a:cxn>
                <a:cxn ang="0">
                  <a:pos x="csX22" y="csY22"/>
                </a:cxn>
                <a:cxn ang="0">
                  <a:pos x="csX23" y="csY23"/>
                </a:cxn>
                <a:cxn ang="0">
                  <a:pos x="csX24" y="csY24"/>
                </a:cxn>
                <a:cxn ang="0">
                  <a:pos x="csX25" y="csY25"/>
                </a:cxn>
                <a:cxn ang="0">
                  <a:pos x="csX26" y="csY26"/>
                </a:cxn>
                <a:cxn ang="0">
                  <a:pos x="csX27" y="csY27"/>
                </a:cxn>
                <a:cxn ang="0">
                  <a:pos x="csX28" y="csY28"/>
                </a:cxn>
              </a:cxnLst>
              <a:rect l="l" t="t" r="r" b="b"/>
              <a:pathLst>
                <a:path w="537178" h="567640">
                  <a:moveTo>
                    <a:pt x="152797" y="213916"/>
                  </a:moveTo>
                  <a:cubicBezTo>
                    <a:pt x="135989" y="213916"/>
                    <a:pt x="122238" y="200164"/>
                    <a:pt x="122238" y="183356"/>
                  </a:cubicBezTo>
                  <a:cubicBezTo>
                    <a:pt x="122238" y="172660"/>
                    <a:pt x="128349" y="162729"/>
                    <a:pt x="136753" y="157381"/>
                  </a:cubicBezTo>
                  <a:cubicBezTo>
                    <a:pt x="136753" y="162729"/>
                    <a:pt x="137517" y="168841"/>
                    <a:pt x="137517" y="175716"/>
                  </a:cubicBezTo>
                  <a:cubicBezTo>
                    <a:pt x="137517" y="184120"/>
                    <a:pt x="144393" y="190996"/>
                    <a:pt x="152797" y="190996"/>
                  </a:cubicBezTo>
                  <a:cubicBezTo>
                    <a:pt x="161201" y="190996"/>
                    <a:pt x="168077" y="184120"/>
                    <a:pt x="168077" y="175716"/>
                  </a:cubicBezTo>
                  <a:cubicBezTo>
                    <a:pt x="168077" y="168841"/>
                    <a:pt x="168077" y="162729"/>
                    <a:pt x="167313" y="156617"/>
                  </a:cubicBezTo>
                  <a:cubicBezTo>
                    <a:pt x="176480" y="161965"/>
                    <a:pt x="183356" y="171896"/>
                    <a:pt x="183356" y="183356"/>
                  </a:cubicBezTo>
                  <a:cubicBezTo>
                    <a:pt x="183356" y="200164"/>
                    <a:pt x="169605" y="213916"/>
                    <a:pt x="152797" y="213916"/>
                  </a:cubicBezTo>
                  <a:close/>
                  <a:moveTo>
                    <a:pt x="528677" y="345321"/>
                  </a:moveTo>
                  <a:lnTo>
                    <a:pt x="314762" y="131405"/>
                  </a:lnTo>
                  <a:cubicBezTo>
                    <a:pt x="308650" y="125293"/>
                    <a:pt x="301010" y="122238"/>
                    <a:pt x="293370" y="122238"/>
                  </a:cubicBezTo>
                  <a:lnTo>
                    <a:pt x="161965" y="122238"/>
                  </a:lnTo>
                  <a:cubicBezTo>
                    <a:pt x="153561" y="95498"/>
                    <a:pt x="137517" y="81746"/>
                    <a:pt x="110014" y="76398"/>
                  </a:cubicBezTo>
                  <a:cubicBezTo>
                    <a:pt x="100082" y="74870"/>
                    <a:pt x="91678" y="73343"/>
                    <a:pt x="83274" y="71815"/>
                  </a:cubicBezTo>
                  <a:cubicBezTo>
                    <a:pt x="39727" y="65703"/>
                    <a:pt x="30559" y="64175"/>
                    <a:pt x="30559" y="15280"/>
                  </a:cubicBezTo>
                  <a:cubicBezTo>
                    <a:pt x="30559" y="6876"/>
                    <a:pt x="23684" y="0"/>
                    <a:pt x="15280" y="0"/>
                  </a:cubicBezTo>
                  <a:cubicBezTo>
                    <a:pt x="6876" y="0"/>
                    <a:pt x="0" y="6876"/>
                    <a:pt x="0" y="15280"/>
                  </a:cubicBezTo>
                  <a:cubicBezTo>
                    <a:pt x="0" y="87094"/>
                    <a:pt x="28267" y="94734"/>
                    <a:pt x="78690" y="102374"/>
                  </a:cubicBezTo>
                  <a:cubicBezTo>
                    <a:pt x="86330" y="103902"/>
                    <a:pt x="94734" y="104666"/>
                    <a:pt x="104666" y="106958"/>
                  </a:cubicBezTo>
                  <a:cubicBezTo>
                    <a:pt x="114598" y="109250"/>
                    <a:pt x="125293" y="110778"/>
                    <a:pt x="131405" y="126821"/>
                  </a:cubicBezTo>
                  <a:cubicBezTo>
                    <a:pt x="108486" y="135989"/>
                    <a:pt x="92442" y="158145"/>
                    <a:pt x="92442" y="184120"/>
                  </a:cubicBezTo>
                  <a:lnTo>
                    <a:pt x="92442" y="323929"/>
                  </a:lnTo>
                  <a:cubicBezTo>
                    <a:pt x="92442" y="332333"/>
                    <a:pt x="95498" y="339973"/>
                    <a:pt x="101610" y="345321"/>
                  </a:cubicBezTo>
                  <a:lnTo>
                    <a:pt x="315526" y="559237"/>
                  </a:lnTo>
                  <a:cubicBezTo>
                    <a:pt x="320873" y="565348"/>
                    <a:pt x="328513" y="567640"/>
                    <a:pt x="336153" y="567640"/>
                  </a:cubicBezTo>
                  <a:cubicBezTo>
                    <a:pt x="343793" y="567640"/>
                    <a:pt x="351433" y="564584"/>
                    <a:pt x="357545" y="558473"/>
                  </a:cubicBezTo>
                  <a:lnTo>
                    <a:pt x="527913" y="388104"/>
                  </a:lnTo>
                  <a:cubicBezTo>
                    <a:pt x="540137" y="376644"/>
                    <a:pt x="540137" y="356781"/>
                    <a:pt x="528677" y="345321"/>
                  </a:cubicBezTo>
                  <a:close/>
                </a:path>
              </a:pathLst>
            </a:custGeom>
            <a:solidFill>
              <a:srgbClr val="FFFFFF"/>
            </a:solidFill>
            <a:ln w="7640" cap="flat">
              <a:noFill/>
              <a:prstDash val="solid"/>
              <a:miter/>
            </a:ln>
          </xdr:spPr>
          <xdr:txBody>
            <a:bodyPr/>
            <a:lstStyle/>
            <a:p>
              <a:endParaRPr lang="pt-BR"/>
            </a:p>
          </xdr:txBody>
        </xdr:sp>
      </xdr:grpSp>
      <xdr:grpSp>
        <xdr:nvGrpSpPr>
          <xdr:cNvPr id="50" name="Agrupar 49">
            <a:extLst>
              <a:ext uri="{FF2B5EF4-FFF2-40B4-BE49-F238E27FC236}">
                <a16:creationId xmlns:a16="http://schemas.microsoft.com/office/drawing/2014/main" id="{FEE49E5A-A24F-AD76-3DC2-2E3949ABAD2F}"/>
              </a:ext>
            </a:extLst>
          </xdr:cNvPr>
          <xdr:cNvGrpSpPr/>
        </xdr:nvGrpSpPr>
        <xdr:grpSpPr>
          <a:xfrm>
            <a:off x="8715375" y="7286625"/>
            <a:ext cx="752475" cy="733425"/>
            <a:chOff x="7686675" y="7448550"/>
            <a:chExt cx="752475" cy="733425"/>
          </a:xfrm>
        </xdr:grpSpPr>
        <xdr:sp macro="" textlink="">
          <xdr:nvSpPr>
            <xdr:cNvPr id="36" name="Fluxograma: Conector 35">
              <a:extLst>
                <a:ext uri="{FF2B5EF4-FFF2-40B4-BE49-F238E27FC236}">
                  <a16:creationId xmlns:a16="http://schemas.microsoft.com/office/drawing/2014/main" id="{3688A3FC-4A66-4A9E-85EC-86FF1F136A77}"/>
                </a:ext>
              </a:extLst>
            </xdr:cNvPr>
            <xdr:cNvSpPr/>
          </xdr:nvSpPr>
          <xdr:spPr>
            <a:xfrm>
              <a:off x="7686675" y="7448550"/>
              <a:ext cx="752475" cy="733425"/>
            </a:xfrm>
            <a:prstGeom prst="flowChartConnector">
              <a:avLst/>
            </a:prstGeom>
            <a:solidFill>
              <a:srgbClr val="107C10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pic>
          <xdr:nvPicPr>
            <xdr:cNvPr id="49" name="Gráfico 48" descr="Dólar com preenchimento sólido">
              <a:extLst>
                <a:ext uri="{FF2B5EF4-FFF2-40B4-BE49-F238E27FC236}">
                  <a16:creationId xmlns:a16="http://schemas.microsoft.com/office/drawing/2014/main" id="{AD80ACCA-602E-0578-6FA5-82626861281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>
              <a:extLst>
                <a:ext uri="{96DAC541-7B7A-43D3-8B79-37D633B846F1}">
                  <asvg:svgBlip xmlns:asvg="http://schemas.microsoft.com/office/drawing/2016/SVG/main" r:embed="rId10"/>
                </a:ext>
              </a:extLst>
            </a:blip>
            <a:stretch>
              <a:fillRect/>
            </a:stretch>
          </xdr:blipFill>
          <xdr:spPr>
            <a:xfrm>
              <a:off x="7743825" y="7496175"/>
              <a:ext cx="619125" cy="619125"/>
            </a:xfrm>
            <a:prstGeom prst="rect">
              <a:avLst/>
            </a:prstGeom>
          </xdr:spPr>
        </xdr:pic>
      </xdr:grpSp>
      <xdr:sp macro="" textlink="">
        <xdr:nvSpPr>
          <xdr:cNvPr id="51" name="Retângulo 50">
            <a:extLst>
              <a:ext uri="{FF2B5EF4-FFF2-40B4-BE49-F238E27FC236}">
                <a16:creationId xmlns:a16="http://schemas.microsoft.com/office/drawing/2014/main" id="{3A3E3B5F-E20A-4D03-9AAB-7C171AB0C4AC}"/>
              </a:ext>
            </a:extLst>
          </xdr:cNvPr>
          <xdr:cNvSpPr/>
        </xdr:nvSpPr>
        <xdr:spPr>
          <a:xfrm>
            <a:off x="8313211" y="7095067"/>
            <a:ext cx="45719" cy="1259417"/>
          </a:xfrm>
          <a:prstGeom prst="rect">
            <a:avLst/>
          </a:prstGeom>
          <a:solidFill>
            <a:srgbClr val="333333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63" name="Imagem 62">
            <a:extLst>
              <a:ext uri="{FF2B5EF4-FFF2-40B4-BE49-F238E27FC236}">
                <a16:creationId xmlns:a16="http://schemas.microsoft.com/office/drawing/2014/main" id="{8C2B11A8-CCB1-40EB-9534-9BF334E3C21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5" cstate="print">
            <a:alphaModFix amt="80000"/>
            <a:duotone>
              <a:prstClr val="black"/>
              <a:schemeClr val="accent6">
                <a:tint val="45000"/>
                <a:satMod val="400000"/>
              </a:schemeClr>
            </a:duotone>
            <a:extLst>
              <a:ext uri="{BEBA8EAE-BF5A-486C-A8C5-ECC9F3942E4B}">
                <a14:imgProps xmlns:a14="http://schemas.microsoft.com/office/drawing/2010/main">
                  <a14:imgLayer r:embed="rId16">
                    <a14:imgEffect>
                      <a14:sharpenSoften amount="12000"/>
                    </a14:imgEffect>
                    <a14:imgEffect>
                      <a14:brightnessContrast bright="-16000" contrast="-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 l="25" r="27756"/>
          <a:stretch>
            <a:fillRect/>
          </a:stretch>
        </xdr:blipFill>
        <xdr:spPr>
          <a:xfrm flipH="1">
            <a:off x="15100275" y="7019925"/>
            <a:ext cx="2340000" cy="1514475"/>
          </a:xfrm>
          <a:prstGeom prst="roundRect">
            <a:avLst>
              <a:gd name="adj" fmla="val 17663"/>
            </a:avLst>
          </a:prstGeom>
        </xdr:spPr>
      </xdr:pic>
    </xdr:grpSp>
    <xdr:clientData/>
  </xdr:twoCellAnchor>
  <xdr:twoCellAnchor>
    <xdr:from>
      <xdr:col>6</xdr:col>
      <xdr:colOff>123825</xdr:colOff>
      <xdr:row>5</xdr:row>
      <xdr:rowOff>0</xdr:rowOff>
    </xdr:from>
    <xdr:to>
      <xdr:col>9</xdr:col>
      <xdr:colOff>542925</xdr:colOff>
      <xdr:row>6</xdr:row>
      <xdr:rowOff>85725</xdr:rowOff>
    </xdr:to>
    <xdr:sp macro="" textlink="">
      <xdr:nvSpPr>
        <xdr:cNvPr id="69" name="CaixaDeTexto 68">
          <a:extLst>
            <a:ext uri="{FF2B5EF4-FFF2-40B4-BE49-F238E27FC236}">
              <a16:creationId xmlns:a16="http://schemas.microsoft.com/office/drawing/2014/main" id="{E030932C-C352-A83D-67D3-4993A92F8F66}"/>
            </a:ext>
          </a:extLst>
        </xdr:cNvPr>
        <xdr:cNvSpPr txBox="1"/>
      </xdr:nvSpPr>
      <xdr:spPr>
        <a:xfrm>
          <a:off x="3781425" y="952500"/>
          <a:ext cx="2247900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0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t>TOTAL</a:t>
          </a:r>
          <a:r>
            <a:rPr lang="pt-BR" sz="1600" b="0" baseline="0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t> SUBSCRIBERS</a:t>
          </a:r>
          <a:endParaRPr lang="pt-BR" sz="1600" b="0">
            <a:solidFill>
              <a:srgbClr val="FFFFFF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12</xdr:col>
      <xdr:colOff>152400</xdr:colOff>
      <xdr:row>4</xdr:row>
      <xdr:rowOff>171450</xdr:rowOff>
    </xdr:from>
    <xdr:to>
      <xdr:col>15</xdr:col>
      <xdr:colOff>485775</xdr:colOff>
      <xdr:row>6</xdr:row>
      <xdr:rowOff>114300</xdr:rowOff>
    </xdr:to>
    <xdr:sp macro="" textlink="">
      <xdr:nvSpPr>
        <xdr:cNvPr id="70" name="CaixaDeTexto 69">
          <a:extLst>
            <a:ext uri="{FF2B5EF4-FFF2-40B4-BE49-F238E27FC236}">
              <a16:creationId xmlns:a16="http://schemas.microsoft.com/office/drawing/2014/main" id="{B4F78A9A-634E-AD9D-238F-2A21A93B9B81}"/>
            </a:ext>
          </a:extLst>
        </xdr:cNvPr>
        <xdr:cNvSpPr txBox="1"/>
      </xdr:nvSpPr>
      <xdr:spPr>
        <a:xfrm>
          <a:off x="7467600" y="933450"/>
          <a:ext cx="2162175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0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t>TOTAL REVENUE</a:t>
          </a:r>
        </a:p>
      </xdr:txBody>
    </xdr:sp>
    <xdr:clientData/>
  </xdr:twoCellAnchor>
  <xdr:twoCellAnchor>
    <xdr:from>
      <xdr:col>18</xdr:col>
      <xdr:colOff>133350</xdr:colOff>
      <xdr:row>4</xdr:row>
      <xdr:rowOff>161925</xdr:rowOff>
    </xdr:from>
    <xdr:to>
      <xdr:col>21</xdr:col>
      <xdr:colOff>581025</xdr:colOff>
      <xdr:row>8</xdr:row>
      <xdr:rowOff>57150</xdr:rowOff>
    </xdr:to>
    <xdr:sp macro="" textlink="">
      <xdr:nvSpPr>
        <xdr:cNvPr id="71" name="CaixaDeTexto 70">
          <a:extLst>
            <a:ext uri="{FF2B5EF4-FFF2-40B4-BE49-F238E27FC236}">
              <a16:creationId xmlns:a16="http://schemas.microsoft.com/office/drawing/2014/main" id="{9E6BADDB-1018-04C9-1AC5-E1E1DC4558F2}"/>
            </a:ext>
          </a:extLst>
        </xdr:cNvPr>
        <xdr:cNvSpPr txBox="1"/>
      </xdr:nvSpPr>
      <xdr:spPr>
        <a:xfrm>
          <a:off x="11106150" y="923925"/>
          <a:ext cx="2276475" cy="657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0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t>AVERAGE REVENUE PER USER</a:t>
          </a:r>
        </a:p>
      </xdr:txBody>
    </xdr:sp>
    <xdr:clientData/>
  </xdr:twoCellAnchor>
  <xdr:twoCellAnchor>
    <xdr:from>
      <xdr:col>24</xdr:col>
      <xdr:colOff>561975</xdr:colOff>
      <xdr:row>5</xdr:row>
      <xdr:rowOff>0</xdr:rowOff>
    </xdr:from>
    <xdr:to>
      <xdr:col>28</xdr:col>
      <xdr:colOff>400050</xdr:colOff>
      <xdr:row>7</xdr:row>
      <xdr:rowOff>57150</xdr:rowOff>
    </xdr:to>
    <xdr:sp macro="" textlink="">
      <xdr:nvSpPr>
        <xdr:cNvPr id="72" name="CaixaDeTexto 71">
          <a:extLst>
            <a:ext uri="{FF2B5EF4-FFF2-40B4-BE49-F238E27FC236}">
              <a16:creationId xmlns:a16="http://schemas.microsoft.com/office/drawing/2014/main" id="{E374DE34-B024-29FC-84E6-B305AABB81A4}"/>
            </a:ext>
          </a:extLst>
        </xdr:cNvPr>
        <xdr:cNvSpPr txBox="1"/>
      </xdr:nvSpPr>
      <xdr:spPr>
        <a:xfrm>
          <a:off x="15192375" y="952500"/>
          <a:ext cx="2276475" cy="438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0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t>AUTO RENUEWAL</a:t>
          </a:r>
          <a:r>
            <a:rPr lang="pt-BR" sz="1600" b="0" baseline="0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t> RATE</a:t>
          </a:r>
          <a:endParaRPr lang="pt-BR" sz="1600" b="0">
            <a:solidFill>
              <a:srgbClr val="FFFFFF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5</xdr:col>
      <xdr:colOff>485775</xdr:colOff>
      <xdr:row>11</xdr:row>
      <xdr:rowOff>133350</xdr:rowOff>
    </xdr:from>
    <xdr:to>
      <xdr:col>10</xdr:col>
      <xdr:colOff>0</xdr:colOff>
      <xdr:row>13</xdr:row>
      <xdr:rowOff>57150</xdr:rowOff>
    </xdr:to>
    <xdr:sp macro="" textlink="">
      <xdr:nvSpPr>
        <xdr:cNvPr id="73" name="CaixaDeTexto 72">
          <a:extLst>
            <a:ext uri="{FF2B5EF4-FFF2-40B4-BE49-F238E27FC236}">
              <a16:creationId xmlns:a16="http://schemas.microsoft.com/office/drawing/2014/main" id="{F2F4F790-093F-CA3D-204E-4E7AC9898964}"/>
            </a:ext>
          </a:extLst>
        </xdr:cNvPr>
        <xdr:cNvSpPr txBox="1"/>
      </xdr:nvSpPr>
      <xdr:spPr>
        <a:xfrm>
          <a:off x="3533775" y="2228850"/>
          <a:ext cx="2562225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0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t>REVENUE</a:t>
          </a:r>
          <a:r>
            <a:rPr lang="pt-BR" sz="1600" b="0" baseline="0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t> OVER TIME</a:t>
          </a:r>
          <a:endParaRPr lang="pt-BR" sz="1600" b="0">
            <a:solidFill>
              <a:srgbClr val="FFFFFF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21</xdr:col>
      <xdr:colOff>142875</xdr:colOff>
      <xdr:row>12</xdr:row>
      <xdr:rowOff>0</xdr:rowOff>
    </xdr:from>
    <xdr:to>
      <xdr:col>25</xdr:col>
      <xdr:colOff>342900</xdr:colOff>
      <xdr:row>14</xdr:row>
      <xdr:rowOff>0</xdr:rowOff>
    </xdr:to>
    <xdr:sp macro="" textlink="">
      <xdr:nvSpPr>
        <xdr:cNvPr id="74" name="CaixaDeTexto 73">
          <a:extLst>
            <a:ext uri="{FF2B5EF4-FFF2-40B4-BE49-F238E27FC236}">
              <a16:creationId xmlns:a16="http://schemas.microsoft.com/office/drawing/2014/main" id="{9B2697DD-E2CE-2681-6276-2920D7C0AD1A}"/>
            </a:ext>
          </a:extLst>
        </xdr:cNvPr>
        <xdr:cNvSpPr txBox="1"/>
      </xdr:nvSpPr>
      <xdr:spPr>
        <a:xfrm>
          <a:off x="12944475" y="2286000"/>
          <a:ext cx="2638425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0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t>REVENUE BY PLAN</a:t>
          </a:r>
        </a:p>
      </xdr:txBody>
    </xdr:sp>
    <xdr:clientData/>
  </xdr:twoCellAnchor>
  <xdr:twoCellAnchor>
    <xdr:from>
      <xdr:col>5</xdr:col>
      <xdr:colOff>114300</xdr:colOff>
      <xdr:row>25</xdr:row>
      <xdr:rowOff>114300</xdr:rowOff>
    </xdr:from>
    <xdr:to>
      <xdr:col>9</xdr:col>
      <xdr:colOff>400050</xdr:colOff>
      <xdr:row>27</xdr:row>
      <xdr:rowOff>0</xdr:rowOff>
    </xdr:to>
    <xdr:sp macro="" textlink="">
      <xdr:nvSpPr>
        <xdr:cNvPr id="75" name="CaixaDeTexto 74">
          <a:extLst>
            <a:ext uri="{FF2B5EF4-FFF2-40B4-BE49-F238E27FC236}">
              <a16:creationId xmlns:a16="http://schemas.microsoft.com/office/drawing/2014/main" id="{07D4BB99-41E5-22CD-80AF-2A2AB4D56FC6}"/>
            </a:ext>
          </a:extLst>
        </xdr:cNvPr>
        <xdr:cNvSpPr txBox="1"/>
      </xdr:nvSpPr>
      <xdr:spPr>
        <a:xfrm>
          <a:off x="3162300" y="4876800"/>
          <a:ext cx="27241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0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t>REVENUE BY REGION</a:t>
          </a:r>
        </a:p>
      </xdr:txBody>
    </xdr:sp>
    <xdr:clientData/>
  </xdr:twoCellAnchor>
  <xdr:twoCellAnchor>
    <xdr:from>
      <xdr:col>15</xdr:col>
      <xdr:colOff>390525</xdr:colOff>
      <xdr:row>25</xdr:row>
      <xdr:rowOff>47625</xdr:rowOff>
    </xdr:from>
    <xdr:to>
      <xdr:col>19</xdr:col>
      <xdr:colOff>142875</xdr:colOff>
      <xdr:row>27</xdr:row>
      <xdr:rowOff>0</xdr:rowOff>
    </xdr:to>
    <xdr:sp macro="" textlink="">
      <xdr:nvSpPr>
        <xdr:cNvPr id="76" name="CaixaDeTexto 75">
          <a:extLst>
            <a:ext uri="{FF2B5EF4-FFF2-40B4-BE49-F238E27FC236}">
              <a16:creationId xmlns:a16="http://schemas.microsoft.com/office/drawing/2014/main" id="{F8F883D7-E374-1D39-F131-5B959D97FAAD}"/>
            </a:ext>
          </a:extLst>
        </xdr:cNvPr>
        <xdr:cNvSpPr txBox="1"/>
      </xdr:nvSpPr>
      <xdr:spPr>
        <a:xfrm>
          <a:off x="9534525" y="4810125"/>
          <a:ext cx="2190750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0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t>ADD</a:t>
          </a:r>
          <a:r>
            <a:rPr lang="pt-BR" sz="1600" b="0" baseline="0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t>-ONS ADOPTION</a:t>
          </a:r>
          <a:endParaRPr lang="pt-BR" sz="1600" b="0">
            <a:solidFill>
              <a:srgbClr val="FFFFFF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22</xdr:col>
      <xdr:colOff>495300</xdr:colOff>
      <xdr:row>25</xdr:row>
      <xdr:rowOff>47625</xdr:rowOff>
    </xdr:from>
    <xdr:to>
      <xdr:col>27</xdr:col>
      <xdr:colOff>0</xdr:colOff>
      <xdr:row>27</xdr:row>
      <xdr:rowOff>0</xdr:rowOff>
    </xdr:to>
    <xdr:sp macro="" textlink="">
      <xdr:nvSpPr>
        <xdr:cNvPr id="77" name="CaixaDeTexto 76">
          <a:extLst>
            <a:ext uri="{FF2B5EF4-FFF2-40B4-BE49-F238E27FC236}">
              <a16:creationId xmlns:a16="http://schemas.microsoft.com/office/drawing/2014/main" id="{CCE5F0B4-6A9B-8A97-0E0B-10D4874DCEFD}"/>
            </a:ext>
          </a:extLst>
        </xdr:cNvPr>
        <xdr:cNvSpPr txBox="1"/>
      </xdr:nvSpPr>
      <xdr:spPr>
        <a:xfrm>
          <a:off x="13906500" y="4810125"/>
          <a:ext cx="2552700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0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t>SUBSCRIPTION TYPE</a:t>
          </a:r>
        </a:p>
      </xdr:txBody>
    </xdr:sp>
    <xdr:clientData/>
  </xdr:twoCellAnchor>
  <xdr:twoCellAnchor>
    <xdr:from>
      <xdr:col>6</xdr:col>
      <xdr:colOff>419100</xdr:colOff>
      <xdr:row>39</xdr:row>
      <xdr:rowOff>19050</xdr:rowOff>
    </xdr:from>
    <xdr:to>
      <xdr:col>9</xdr:col>
      <xdr:colOff>571500</xdr:colOff>
      <xdr:row>40</xdr:row>
      <xdr:rowOff>123825</xdr:rowOff>
    </xdr:to>
    <xdr:sp macro="" textlink="">
      <xdr:nvSpPr>
        <xdr:cNvPr id="78" name="CaixaDeTexto 77">
          <a:extLst>
            <a:ext uri="{FF2B5EF4-FFF2-40B4-BE49-F238E27FC236}">
              <a16:creationId xmlns:a16="http://schemas.microsoft.com/office/drawing/2014/main" id="{269F1448-1234-AF67-9134-AD10F480BD81}"/>
            </a:ext>
          </a:extLst>
        </xdr:cNvPr>
        <xdr:cNvSpPr txBox="1"/>
      </xdr:nvSpPr>
      <xdr:spPr>
        <a:xfrm>
          <a:off x="4076700" y="7448550"/>
          <a:ext cx="1981200" cy="2952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0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t>COUPON IMPACT</a:t>
          </a:r>
        </a:p>
      </xdr:txBody>
    </xdr:sp>
    <xdr:clientData/>
  </xdr:twoCellAnchor>
  <xdr:twoCellAnchor>
    <xdr:from>
      <xdr:col>16</xdr:col>
      <xdr:colOff>0</xdr:colOff>
      <xdr:row>39</xdr:row>
      <xdr:rowOff>19050</xdr:rowOff>
    </xdr:from>
    <xdr:to>
      <xdr:col>18</xdr:col>
      <xdr:colOff>466725</xdr:colOff>
      <xdr:row>41</xdr:row>
      <xdr:rowOff>0</xdr:rowOff>
    </xdr:to>
    <xdr:sp macro="" textlink="">
      <xdr:nvSpPr>
        <xdr:cNvPr id="79" name="CaixaDeTexto 78">
          <a:extLst>
            <a:ext uri="{FF2B5EF4-FFF2-40B4-BE49-F238E27FC236}">
              <a16:creationId xmlns:a16="http://schemas.microsoft.com/office/drawing/2014/main" id="{ED6B9856-CB42-B1A6-B129-E95678301324}"/>
            </a:ext>
          </a:extLst>
        </xdr:cNvPr>
        <xdr:cNvSpPr txBox="1"/>
      </xdr:nvSpPr>
      <xdr:spPr>
        <a:xfrm>
          <a:off x="9753600" y="7448550"/>
          <a:ext cx="1685925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0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t>NET REVENUE</a:t>
          </a:r>
        </a:p>
      </xdr:txBody>
    </xdr:sp>
    <xdr:clientData/>
  </xdr:twoCellAnchor>
  <xdr:twoCellAnchor>
    <xdr:from>
      <xdr:col>5</xdr:col>
      <xdr:colOff>171451</xdr:colOff>
      <xdr:row>13</xdr:row>
      <xdr:rowOff>180975</xdr:rowOff>
    </xdr:from>
    <xdr:to>
      <xdr:col>17</xdr:col>
      <xdr:colOff>0</xdr:colOff>
      <xdr:row>24</xdr:row>
      <xdr:rowOff>95250</xdr:rowOff>
    </xdr:to>
    <xdr:graphicFrame macro="">
      <xdr:nvGraphicFramePr>
        <xdr:cNvPr id="81" name="Gráfico 80">
          <a:extLst>
            <a:ext uri="{FF2B5EF4-FFF2-40B4-BE49-F238E27FC236}">
              <a16:creationId xmlns:a16="http://schemas.microsoft.com/office/drawing/2014/main" id="{D20DAA4A-2CF9-499A-A97C-657996301F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0</xdr:col>
      <xdr:colOff>124200</xdr:colOff>
      <xdr:row>9</xdr:row>
      <xdr:rowOff>123824</xdr:rowOff>
    </xdr:from>
    <xdr:to>
      <xdr:col>3</xdr:col>
      <xdr:colOff>122850</xdr:colOff>
      <xdr:row>44</xdr:row>
      <xdr:rowOff>19049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2" name="Subscription Type">
              <a:extLst>
                <a:ext uri="{FF2B5EF4-FFF2-40B4-BE49-F238E27FC236}">
                  <a16:creationId xmlns:a16="http://schemas.microsoft.com/office/drawing/2014/main" id="{70C56567-67A1-4BB9-B01E-81DF0D96244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4200" y="1838324"/>
              <a:ext cx="1827450" cy="65627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6</xdr:col>
      <xdr:colOff>238125</xdr:colOff>
      <xdr:row>6</xdr:row>
      <xdr:rowOff>180975</xdr:rowOff>
    </xdr:from>
    <xdr:to>
      <xdr:col>8</xdr:col>
      <xdr:colOff>238125</xdr:colOff>
      <xdr:row>9</xdr:row>
      <xdr:rowOff>180975</xdr:rowOff>
    </xdr:to>
    <xdr:sp macro="" textlink="Cálculos!C34">
      <xdr:nvSpPr>
        <xdr:cNvPr id="83" name="Retângulo 82">
          <a:extLst>
            <a:ext uri="{FF2B5EF4-FFF2-40B4-BE49-F238E27FC236}">
              <a16:creationId xmlns:a16="http://schemas.microsoft.com/office/drawing/2014/main" id="{3B6EFF00-B180-66F3-2F19-0D32001AE6F0}"/>
            </a:ext>
          </a:extLst>
        </xdr:cNvPr>
        <xdr:cNvSpPr/>
      </xdr:nvSpPr>
      <xdr:spPr>
        <a:xfrm>
          <a:off x="3895725" y="1323975"/>
          <a:ext cx="1219200" cy="5715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782D6497-D726-473F-A013-89FB5EB54774}" type="TxLink">
            <a:rPr lang="en-US" sz="2400" b="1" i="0" u="none" strike="noStrike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pPr algn="l"/>
            <a:t>295</a:t>
          </a:fld>
          <a:endParaRPr lang="pt-BR" sz="2400" b="1">
            <a:solidFill>
              <a:srgbClr val="FFFFFF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25</xdr:col>
      <xdr:colOff>0</xdr:colOff>
      <xdr:row>7</xdr:row>
      <xdr:rowOff>0</xdr:rowOff>
    </xdr:from>
    <xdr:to>
      <xdr:col>27</xdr:col>
      <xdr:colOff>0</xdr:colOff>
      <xdr:row>9</xdr:row>
      <xdr:rowOff>95250</xdr:rowOff>
    </xdr:to>
    <xdr:sp macro="" textlink="Cálculos!D5">
      <xdr:nvSpPr>
        <xdr:cNvPr id="85" name="Retângulo 84">
          <a:extLst>
            <a:ext uri="{FF2B5EF4-FFF2-40B4-BE49-F238E27FC236}">
              <a16:creationId xmlns:a16="http://schemas.microsoft.com/office/drawing/2014/main" id="{8867F98A-E0A7-819C-8950-73FA5ADDD8C9}"/>
            </a:ext>
          </a:extLst>
        </xdr:cNvPr>
        <xdr:cNvSpPr/>
      </xdr:nvSpPr>
      <xdr:spPr>
        <a:xfrm>
          <a:off x="15240000" y="1333500"/>
          <a:ext cx="1219200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A7E8F810-B80E-41BB-8DFD-3CBEE0730252}" type="TxLink">
            <a:rPr lang="en-US" sz="2800" b="1" i="0" u="none" strike="noStrike">
              <a:solidFill>
                <a:srgbClr val="FFFFFF"/>
              </a:solidFill>
              <a:latin typeface="Aptos Narrow"/>
            </a:rPr>
            <a:pPr algn="l"/>
            <a:t>50%</a:t>
          </a:fld>
          <a:endParaRPr lang="pt-BR" sz="2800" b="1">
            <a:solidFill>
              <a:srgbClr val="FFFFFF"/>
            </a:solidFill>
          </a:endParaRPr>
        </a:p>
      </xdr:txBody>
    </xdr:sp>
    <xdr:clientData/>
  </xdr:twoCellAnchor>
  <xdr:twoCellAnchor>
    <xdr:from>
      <xdr:col>27</xdr:col>
      <xdr:colOff>0</xdr:colOff>
      <xdr:row>7</xdr:row>
      <xdr:rowOff>9525</xdr:rowOff>
    </xdr:from>
    <xdr:to>
      <xdr:col>28</xdr:col>
      <xdr:colOff>0</xdr:colOff>
      <xdr:row>9</xdr:row>
      <xdr:rowOff>9525</xdr:rowOff>
    </xdr:to>
    <xdr:sp macro="" textlink="Cálculos!D6">
      <xdr:nvSpPr>
        <xdr:cNvPr id="86" name="Retângulo 85">
          <a:extLst>
            <a:ext uri="{FF2B5EF4-FFF2-40B4-BE49-F238E27FC236}">
              <a16:creationId xmlns:a16="http://schemas.microsoft.com/office/drawing/2014/main" id="{CB943C15-03B0-CF48-D3BE-D814FB2CF0B3}"/>
            </a:ext>
          </a:extLst>
        </xdr:cNvPr>
        <xdr:cNvSpPr/>
      </xdr:nvSpPr>
      <xdr:spPr>
        <a:xfrm>
          <a:off x="16459200" y="1343025"/>
          <a:ext cx="609600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B221DBF2-9AD8-41B1-937A-C7996D1B5720}" type="TxLink">
            <a:rPr lang="en-US" sz="1600" b="0" i="0" u="none" strike="noStrike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pPr algn="l"/>
            <a:t>295</a:t>
          </a:fld>
          <a:endParaRPr lang="pt-BR" sz="1600">
            <a:solidFill>
              <a:srgbClr val="FFFFFF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26</xdr:col>
      <xdr:colOff>419100</xdr:colOff>
      <xdr:row>8</xdr:row>
      <xdr:rowOff>104775</xdr:rowOff>
    </xdr:from>
    <xdr:to>
      <xdr:col>28</xdr:col>
      <xdr:colOff>419100</xdr:colOff>
      <xdr:row>10</xdr:row>
      <xdr:rowOff>0</xdr:rowOff>
    </xdr:to>
    <xdr:sp macro="" textlink="">
      <xdr:nvSpPr>
        <xdr:cNvPr id="87" name="CaixaDeTexto 86">
          <a:extLst>
            <a:ext uri="{FF2B5EF4-FFF2-40B4-BE49-F238E27FC236}">
              <a16:creationId xmlns:a16="http://schemas.microsoft.com/office/drawing/2014/main" id="{70025A54-3104-E913-C015-DC0509AFE4B0}"/>
            </a:ext>
          </a:extLst>
        </xdr:cNvPr>
        <xdr:cNvSpPr txBox="1"/>
      </xdr:nvSpPr>
      <xdr:spPr>
        <a:xfrm>
          <a:off x="16268700" y="1628775"/>
          <a:ext cx="1219200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t>Subscribers</a:t>
          </a:r>
        </a:p>
      </xdr:txBody>
    </xdr:sp>
    <xdr:clientData/>
  </xdr:twoCellAnchor>
  <xdr:twoCellAnchor>
    <xdr:from>
      <xdr:col>8</xdr:col>
      <xdr:colOff>266700</xdr:colOff>
      <xdr:row>9</xdr:row>
      <xdr:rowOff>0</xdr:rowOff>
    </xdr:from>
    <xdr:to>
      <xdr:col>10</xdr:col>
      <xdr:colOff>104775</xdr:colOff>
      <xdr:row>10</xdr:row>
      <xdr:rowOff>95250</xdr:rowOff>
    </xdr:to>
    <xdr:sp macro="" textlink="">
      <xdr:nvSpPr>
        <xdr:cNvPr id="88" name="CaixaDeTexto 87">
          <a:extLst>
            <a:ext uri="{FF2B5EF4-FFF2-40B4-BE49-F238E27FC236}">
              <a16:creationId xmlns:a16="http://schemas.microsoft.com/office/drawing/2014/main" id="{BAE1B0A6-992D-E86C-E21C-E6C87083A69C}"/>
            </a:ext>
          </a:extLst>
        </xdr:cNvPr>
        <xdr:cNvSpPr txBox="1"/>
      </xdr:nvSpPr>
      <xdr:spPr>
        <a:xfrm>
          <a:off x="5143500" y="1714500"/>
          <a:ext cx="1057275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t>Subscribers</a:t>
          </a:r>
        </a:p>
      </xdr:txBody>
    </xdr:sp>
    <xdr:clientData/>
  </xdr:twoCellAnchor>
  <xdr:twoCellAnchor>
    <xdr:from>
      <xdr:col>8</xdr:col>
      <xdr:colOff>571500</xdr:colOff>
      <xdr:row>7</xdr:row>
      <xdr:rowOff>95250</xdr:rowOff>
    </xdr:from>
    <xdr:to>
      <xdr:col>10</xdr:col>
      <xdr:colOff>571500</xdr:colOff>
      <xdr:row>10</xdr:row>
      <xdr:rowOff>0</xdr:rowOff>
    </xdr:to>
    <xdr:sp macro="" textlink="Cálculos!F3">
      <xdr:nvSpPr>
        <xdr:cNvPr id="89" name="Retângulo 88">
          <a:extLst>
            <a:ext uri="{FF2B5EF4-FFF2-40B4-BE49-F238E27FC236}">
              <a16:creationId xmlns:a16="http://schemas.microsoft.com/office/drawing/2014/main" id="{CF025A11-CFAA-2989-7BE1-3AF6D4749E47}"/>
            </a:ext>
          </a:extLst>
        </xdr:cNvPr>
        <xdr:cNvSpPr/>
      </xdr:nvSpPr>
      <xdr:spPr>
        <a:xfrm>
          <a:off x="5448300" y="1428750"/>
          <a:ext cx="1219200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1A267970-55F3-4E7C-9062-A8839A9F7BF2}" type="TxLink">
            <a:rPr lang="en-US" sz="1400" b="0" i="0" u="none" strike="noStrike">
              <a:solidFill>
                <a:srgbClr val="FFFFFF"/>
              </a:solidFill>
              <a:latin typeface="Aptos Narrow"/>
            </a:rPr>
            <a:pPr algn="l"/>
            <a:t>100%</a:t>
          </a:fld>
          <a:endParaRPr lang="pt-BR" sz="1400">
            <a:solidFill>
              <a:srgbClr val="FFFFFF"/>
            </a:solidFill>
          </a:endParaRPr>
        </a:p>
      </xdr:txBody>
    </xdr:sp>
    <xdr:clientData/>
  </xdr:twoCellAnchor>
  <xdr:twoCellAnchor>
    <xdr:from>
      <xdr:col>12</xdr:col>
      <xdr:colOff>304800</xdr:colOff>
      <xdr:row>6</xdr:row>
      <xdr:rowOff>95250</xdr:rowOff>
    </xdr:from>
    <xdr:to>
      <xdr:col>15</xdr:col>
      <xdr:colOff>0</xdr:colOff>
      <xdr:row>9</xdr:row>
      <xdr:rowOff>95250</xdr:rowOff>
    </xdr:to>
    <xdr:sp macro="" textlink="Cálculos!G16">
      <xdr:nvSpPr>
        <xdr:cNvPr id="90" name="Retângulo 89">
          <a:extLst>
            <a:ext uri="{FF2B5EF4-FFF2-40B4-BE49-F238E27FC236}">
              <a16:creationId xmlns:a16="http://schemas.microsoft.com/office/drawing/2014/main" id="{588B13C1-6D9F-D000-8E0D-367558BB10EF}"/>
            </a:ext>
          </a:extLst>
        </xdr:cNvPr>
        <xdr:cNvSpPr/>
      </xdr:nvSpPr>
      <xdr:spPr>
        <a:xfrm>
          <a:off x="7620000" y="1238250"/>
          <a:ext cx="1524000" cy="5715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1241529D-F11B-4DC8-A6D2-41853C63670F}" type="TxLink">
            <a:rPr lang="en-US" sz="1800" b="1" i="0" u="none" strike="noStrike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pPr algn="l"/>
            <a:t> R$ 9.755,00 </a:t>
          </a:fld>
          <a:endParaRPr lang="pt-BR" sz="1800" b="1">
            <a:solidFill>
              <a:srgbClr val="FFFFFF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13</xdr:col>
      <xdr:colOff>0</xdr:colOff>
      <xdr:row>9</xdr:row>
      <xdr:rowOff>0</xdr:rowOff>
    </xdr:from>
    <xdr:to>
      <xdr:col>14</xdr:col>
      <xdr:colOff>0</xdr:colOff>
      <xdr:row>10</xdr:row>
      <xdr:rowOff>95250</xdr:rowOff>
    </xdr:to>
    <xdr:sp macro="" textlink="Cálculos!G17">
      <xdr:nvSpPr>
        <xdr:cNvPr id="91" name="Retângulo 90">
          <a:extLst>
            <a:ext uri="{FF2B5EF4-FFF2-40B4-BE49-F238E27FC236}">
              <a16:creationId xmlns:a16="http://schemas.microsoft.com/office/drawing/2014/main" id="{C58CA515-E825-793E-4F15-8CAD99BBBBB9}"/>
            </a:ext>
          </a:extLst>
        </xdr:cNvPr>
        <xdr:cNvSpPr/>
      </xdr:nvSpPr>
      <xdr:spPr>
        <a:xfrm>
          <a:off x="7924800" y="1714500"/>
          <a:ext cx="60960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A3FA3FA8-F6FE-400F-8DB9-EEA56CD017B1}" type="TxLink">
            <a:rPr lang="en-US" sz="1400" b="0" i="0" u="none" strike="noStrike">
              <a:solidFill>
                <a:srgbClr val="FFFFFF"/>
              </a:solidFill>
              <a:latin typeface="Aptos Narrow"/>
            </a:rPr>
            <a:pPr algn="l"/>
            <a:t>100%</a:t>
          </a:fld>
          <a:endParaRPr lang="pt-BR" sz="1400">
            <a:solidFill>
              <a:srgbClr val="FFFFFF"/>
            </a:solidFill>
          </a:endParaRPr>
        </a:p>
      </xdr:txBody>
    </xdr:sp>
    <xdr:clientData/>
  </xdr:twoCellAnchor>
  <xdr:twoCellAnchor>
    <xdr:from>
      <xdr:col>14</xdr:col>
      <xdr:colOff>0</xdr:colOff>
      <xdr:row>9</xdr:row>
      <xdr:rowOff>9525</xdr:rowOff>
    </xdr:from>
    <xdr:to>
      <xdr:col>16</xdr:col>
      <xdr:colOff>0</xdr:colOff>
      <xdr:row>10</xdr:row>
      <xdr:rowOff>104775</xdr:rowOff>
    </xdr:to>
    <xdr:sp macro="" textlink="">
      <xdr:nvSpPr>
        <xdr:cNvPr id="92" name="CaixaDeTexto 91">
          <a:extLst>
            <a:ext uri="{FF2B5EF4-FFF2-40B4-BE49-F238E27FC236}">
              <a16:creationId xmlns:a16="http://schemas.microsoft.com/office/drawing/2014/main" id="{D7649C60-9E22-C8ED-C8AB-20F593FC0BF3}"/>
            </a:ext>
          </a:extLst>
        </xdr:cNvPr>
        <xdr:cNvSpPr txBox="1"/>
      </xdr:nvSpPr>
      <xdr:spPr>
        <a:xfrm>
          <a:off x="8534400" y="1724025"/>
          <a:ext cx="1219200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t>of total</a:t>
          </a:r>
        </a:p>
      </xdr:txBody>
    </xdr:sp>
    <xdr:clientData/>
  </xdr:twoCellAnchor>
  <xdr:twoCellAnchor>
    <xdr:from>
      <xdr:col>6</xdr:col>
      <xdr:colOff>561974</xdr:colOff>
      <xdr:row>41</xdr:row>
      <xdr:rowOff>0</xdr:rowOff>
    </xdr:from>
    <xdr:to>
      <xdr:col>9</xdr:col>
      <xdr:colOff>609599</xdr:colOff>
      <xdr:row>44</xdr:row>
      <xdr:rowOff>0</xdr:rowOff>
    </xdr:to>
    <xdr:sp macro="" textlink="Cálculos!G18">
      <xdr:nvSpPr>
        <xdr:cNvPr id="93" name="Retângulo 92">
          <a:extLst>
            <a:ext uri="{FF2B5EF4-FFF2-40B4-BE49-F238E27FC236}">
              <a16:creationId xmlns:a16="http://schemas.microsoft.com/office/drawing/2014/main" id="{7F62FFC9-EA9F-55A0-5BB2-4E388FD27CA7}"/>
            </a:ext>
          </a:extLst>
        </xdr:cNvPr>
        <xdr:cNvSpPr/>
      </xdr:nvSpPr>
      <xdr:spPr>
        <a:xfrm>
          <a:off x="4219574" y="7810500"/>
          <a:ext cx="1876425" cy="5715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D9441B84-485C-4D35-9F10-6C0FDF9AC3F5}" type="TxLink">
            <a:rPr lang="en-US" sz="2400" b="1" i="0" u="none" strike="noStrike">
              <a:solidFill>
                <a:srgbClr val="FFFFFF"/>
              </a:solidFill>
              <a:latin typeface="Aptos Narrow"/>
            </a:rPr>
            <a:pPr algn="l"/>
            <a:t> R$ 2.122,00 </a:t>
          </a:fld>
          <a:endParaRPr lang="pt-BR" sz="2400" b="1">
            <a:solidFill>
              <a:srgbClr val="FFFFFF"/>
            </a:solidFill>
          </a:endParaRPr>
        </a:p>
      </xdr:txBody>
    </xdr:sp>
    <xdr:clientData/>
  </xdr:twoCellAnchor>
  <xdr:twoCellAnchor>
    <xdr:from>
      <xdr:col>7</xdr:col>
      <xdr:colOff>0</xdr:colOff>
      <xdr:row>43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94" name="CaixaDeTexto 93">
          <a:extLst>
            <a:ext uri="{FF2B5EF4-FFF2-40B4-BE49-F238E27FC236}">
              <a16:creationId xmlns:a16="http://schemas.microsoft.com/office/drawing/2014/main" id="{EC32B185-1A05-574B-5BFE-B8C4D81DB89A}"/>
            </a:ext>
          </a:extLst>
        </xdr:cNvPr>
        <xdr:cNvSpPr txBox="1"/>
      </xdr:nvSpPr>
      <xdr:spPr>
        <a:xfrm>
          <a:off x="4267200" y="8191500"/>
          <a:ext cx="243840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200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t>Discount</a:t>
          </a:r>
          <a:r>
            <a:rPr lang="pt-BR" sz="1200" baseline="0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t> applied</a:t>
          </a:r>
          <a:endParaRPr lang="pt-BR" sz="1200">
            <a:solidFill>
              <a:srgbClr val="FFFFFF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16</xdr:col>
      <xdr:colOff>0</xdr:colOff>
      <xdr:row>41</xdr:row>
      <xdr:rowOff>0</xdr:rowOff>
    </xdr:from>
    <xdr:to>
      <xdr:col>20</xdr:col>
      <xdr:colOff>0</xdr:colOff>
      <xdr:row>44</xdr:row>
      <xdr:rowOff>0</xdr:rowOff>
    </xdr:to>
    <xdr:sp macro="" textlink="Cálculos!G19">
      <xdr:nvSpPr>
        <xdr:cNvPr id="95" name="Retângulo 94">
          <a:extLst>
            <a:ext uri="{FF2B5EF4-FFF2-40B4-BE49-F238E27FC236}">
              <a16:creationId xmlns:a16="http://schemas.microsoft.com/office/drawing/2014/main" id="{60E43BE7-0BEF-C06A-6AC9-583AC7046B6F}"/>
            </a:ext>
          </a:extLst>
        </xdr:cNvPr>
        <xdr:cNvSpPr/>
      </xdr:nvSpPr>
      <xdr:spPr>
        <a:xfrm>
          <a:off x="9753600" y="7810500"/>
          <a:ext cx="2438400" cy="5715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92B8DDD8-9DC4-4405-A0E0-0EC41F893269}" type="TxLink">
            <a:rPr lang="en-US" sz="2400" b="1" i="0" u="none" strike="noStrike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pPr algn="l"/>
            <a:t> R$ 7.633,00 </a:t>
          </a:fld>
          <a:endParaRPr lang="pt-BR" sz="2400" b="1">
            <a:solidFill>
              <a:srgbClr val="FFFFFF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16</xdr:col>
      <xdr:colOff>0</xdr:colOff>
      <xdr:row>43</xdr:row>
      <xdr:rowOff>85725</xdr:rowOff>
    </xdr:from>
    <xdr:to>
      <xdr:col>20</xdr:col>
      <xdr:colOff>0</xdr:colOff>
      <xdr:row>45</xdr:row>
      <xdr:rowOff>85725</xdr:rowOff>
    </xdr:to>
    <xdr:sp macro="" textlink="">
      <xdr:nvSpPr>
        <xdr:cNvPr id="96" name="CaixaDeTexto 95">
          <a:extLst>
            <a:ext uri="{FF2B5EF4-FFF2-40B4-BE49-F238E27FC236}">
              <a16:creationId xmlns:a16="http://schemas.microsoft.com/office/drawing/2014/main" id="{BBBF54BD-D132-2ADD-7D55-2F91ECEACB63}"/>
            </a:ext>
          </a:extLst>
        </xdr:cNvPr>
        <xdr:cNvSpPr txBox="1"/>
      </xdr:nvSpPr>
      <xdr:spPr>
        <a:xfrm>
          <a:off x="9753600" y="8277225"/>
          <a:ext cx="243840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200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t>Revenue after discount</a:t>
          </a:r>
        </a:p>
      </xdr:txBody>
    </xdr:sp>
    <xdr:clientData/>
  </xdr:twoCellAnchor>
  <xdr:twoCellAnchor>
    <xdr:from>
      <xdr:col>4</xdr:col>
      <xdr:colOff>371475</xdr:colOff>
      <xdr:row>27</xdr:row>
      <xdr:rowOff>0</xdr:rowOff>
    </xdr:from>
    <xdr:to>
      <xdr:col>13</xdr:col>
      <xdr:colOff>0</xdr:colOff>
      <xdr:row>37</xdr:row>
      <xdr:rowOff>0</xdr:rowOff>
    </xdr:to>
    <xdr:graphicFrame macro="">
      <xdr:nvGraphicFramePr>
        <xdr:cNvPr id="97" name="Gráfico 96">
          <a:extLst>
            <a:ext uri="{FF2B5EF4-FFF2-40B4-BE49-F238E27FC236}">
              <a16:creationId xmlns:a16="http://schemas.microsoft.com/office/drawing/2014/main" id="{4BD0D29C-4CFF-4D5A-9C3C-B9CDCB3032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20</xdr:col>
      <xdr:colOff>0</xdr:colOff>
      <xdr:row>13</xdr:row>
      <xdr:rowOff>19050</xdr:rowOff>
    </xdr:from>
    <xdr:to>
      <xdr:col>25</xdr:col>
      <xdr:colOff>0</xdr:colOff>
      <xdr:row>25</xdr:row>
      <xdr:rowOff>0</xdr:rowOff>
    </xdr:to>
    <xdr:graphicFrame macro="">
      <xdr:nvGraphicFramePr>
        <xdr:cNvPr id="98" name="Gráfico 97">
          <a:extLst>
            <a:ext uri="{FF2B5EF4-FFF2-40B4-BE49-F238E27FC236}">
              <a16:creationId xmlns:a16="http://schemas.microsoft.com/office/drawing/2014/main" id="{52C85FDB-4188-4A14-A448-C854BA2123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24</xdr:col>
      <xdr:colOff>304800</xdr:colOff>
      <xdr:row>12</xdr:row>
      <xdr:rowOff>0</xdr:rowOff>
    </xdr:from>
    <xdr:to>
      <xdr:col>28</xdr:col>
      <xdr:colOff>304800</xdr:colOff>
      <xdr:row>25</xdr:row>
      <xdr:rowOff>0</xdr:rowOff>
    </xdr:to>
    <xdr:sp macro="" textlink="">
      <xdr:nvSpPr>
        <xdr:cNvPr id="99" name="Retângulo 98">
          <a:extLst>
            <a:ext uri="{FF2B5EF4-FFF2-40B4-BE49-F238E27FC236}">
              <a16:creationId xmlns:a16="http://schemas.microsoft.com/office/drawing/2014/main" id="{C58A4CE1-6D91-D901-B818-BA2CF4D23B5D}"/>
            </a:ext>
          </a:extLst>
        </xdr:cNvPr>
        <xdr:cNvSpPr/>
      </xdr:nvSpPr>
      <xdr:spPr>
        <a:xfrm>
          <a:off x="14935200" y="2286000"/>
          <a:ext cx="2438400" cy="24765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25</xdr:col>
      <xdr:colOff>0</xdr:colOff>
      <xdr:row>12</xdr:row>
      <xdr:rowOff>95250</xdr:rowOff>
    </xdr:from>
    <xdr:to>
      <xdr:col>28</xdr:col>
      <xdr:colOff>0</xdr:colOff>
      <xdr:row>14</xdr:row>
      <xdr:rowOff>0</xdr:rowOff>
    </xdr:to>
    <xdr:sp macro="" textlink="">
      <xdr:nvSpPr>
        <xdr:cNvPr id="100" name="CaixaDeTexto 99">
          <a:extLst>
            <a:ext uri="{FF2B5EF4-FFF2-40B4-BE49-F238E27FC236}">
              <a16:creationId xmlns:a16="http://schemas.microsoft.com/office/drawing/2014/main" id="{CDB84D0E-E0FC-F89C-F221-FFEF3274A1AB}"/>
            </a:ext>
          </a:extLst>
        </xdr:cNvPr>
        <xdr:cNvSpPr txBox="1"/>
      </xdr:nvSpPr>
      <xdr:spPr>
        <a:xfrm>
          <a:off x="15240000" y="2381250"/>
          <a:ext cx="1828800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200" b="1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t>Ultimate</a:t>
          </a:r>
        </a:p>
      </xdr:txBody>
    </xdr:sp>
    <xdr:clientData/>
  </xdr:twoCellAnchor>
  <xdr:twoCellAnchor>
    <xdr:from>
      <xdr:col>25</xdr:col>
      <xdr:colOff>0</xdr:colOff>
      <xdr:row>16</xdr:row>
      <xdr:rowOff>0</xdr:rowOff>
    </xdr:from>
    <xdr:to>
      <xdr:col>28</xdr:col>
      <xdr:colOff>0</xdr:colOff>
      <xdr:row>17</xdr:row>
      <xdr:rowOff>95250</xdr:rowOff>
    </xdr:to>
    <xdr:sp macro="" textlink="">
      <xdr:nvSpPr>
        <xdr:cNvPr id="101" name="CaixaDeTexto 100">
          <a:extLst>
            <a:ext uri="{FF2B5EF4-FFF2-40B4-BE49-F238E27FC236}">
              <a16:creationId xmlns:a16="http://schemas.microsoft.com/office/drawing/2014/main" id="{12A1295A-1AE9-433E-92B4-BD824A3597CA}"/>
            </a:ext>
          </a:extLst>
        </xdr:cNvPr>
        <xdr:cNvSpPr txBox="1"/>
      </xdr:nvSpPr>
      <xdr:spPr>
        <a:xfrm>
          <a:off x="15240000" y="3048000"/>
          <a:ext cx="1828800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200" b="1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t>Standard</a:t>
          </a:r>
        </a:p>
      </xdr:txBody>
    </xdr:sp>
    <xdr:clientData/>
  </xdr:twoCellAnchor>
  <xdr:twoCellAnchor>
    <xdr:from>
      <xdr:col>25</xdr:col>
      <xdr:colOff>0</xdr:colOff>
      <xdr:row>19</xdr:row>
      <xdr:rowOff>95250</xdr:rowOff>
    </xdr:from>
    <xdr:to>
      <xdr:col>28</xdr:col>
      <xdr:colOff>0</xdr:colOff>
      <xdr:row>21</xdr:row>
      <xdr:rowOff>0</xdr:rowOff>
    </xdr:to>
    <xdr:sp macro="" textlink="">
      <xdr:nvSpPr>
        <xdr:cNvPr id="102" name="CaixaDeTexto 101">
          <a:extLst>
            <a:ext uri="{FF2B5EF4-FFF2-40B4-BE49-F238E27FC236}">
              <a16:creationId xmlns:a16="http://schemas.microsoft.com/office/drawing/2014/main" id="{B0A3C6CA-1E38-4519-A41D-678FF489887B}"/>
            </a:ext>
          </a:extLst>
        </xdr:cNvPr>
        <xdr:cNvSpPr txBox="1"/>
      </xdr:nvSpPr>
      <xdr:spPr>
        <a:xfrm>
          <a:off x="15240000" y="3714750"/>
          <a:ext cx="1828800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200" b="1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t>Core</a:t>
          </a:r>
        </a:p>
      </xdr:txBody>
    </xdr:sp>
    <xdr:clientData/>
  </xdr:twoCellAnchor>
  <xdr:twoCellAnchor>
    <xdr:from>
      <xdr:col>25</xdr:col>
      <xdr:colOff>0</xdr:colOff>
      <xdr:row>14</xdr:row>
      <xdr:rowOff>0</xdr:rowOff>
    </xdr:from>
    <xdr:to>
      <xdr:col>28</xdr:col>
      <xdr:colOff>0</xdr:colOff>
      <xdr:row>16</xdr:row>
      <xdr:rowOff>0</xdr:rowOff>
    </xdr:to>
    <xdr:sp macro="" textlink="Cálculos!K14">
      <xdr:nvSpPr>
        <xdr:cNvPr id="103" name="Retângulo: Cantos Arredondados 102">
          <a:extLst>
            <a:ext uri="{FF2B5EF4-FFF2-40B4-BE49-F238E27FC236}">
              <a16:creationId xmlns:a16="http://schemas.microsoft.com/office/drawing/2014/main" id="{77C932A2-AD48-C844-2DAF-9FB53F0AC14B}"/>
            </a:ext>
          </a:extLst>
        </xdr:cNvPr>
        <xdr:cNvSpPr/>
      </xdr:nvSpPr>
      <xdr:spPr>
        <a:xfrm>
          <a:off x="15240000" y="2667000"/>
          <a:ext cx="1828800" cy="3810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734BEB7D-9C54-480A-A876-CE2026733FD3}" type="TxLink">
            <a:rPr lang="en-US" sz="1200" b="0" i="0" u="none" strike="noStrike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pPr algn="ctr"/>
            <a:t> R$ 5.388,00 </a:t>
          </a:fld>
          <a:endParaRPr lang="pt-BR" sz="1200" b="0">
            <a:solidFill>
              <a:srgbClr val="FFFFFF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25</xdr:col>
      <xdr:colOff>0</xdr:colOff>
      <xdr:row>17</xdr:row>
      <xdr:rowOff>95250</xdr:rowOff>
    </xdr:from>
    <xdr:to>
      <xdr:col>28</xdr:col>
      <xdr:colOff>0</xdr:colOff>
      <xdr:row>19</xdr:row>
      <xdr:rowOff>95250</xdr:rowOff>
    </xdr:to>
    <xdr:sp macro="" textlink="Cálculos!K13">
      <xdr:nvSpPr>
        <xdr:cNvPr id="104" name="Retângulo: Cantos Arredondados 103">
          <a:extLst>
            <a:ext uri="{FF2B5EF4-FFF2-40B4-BE49-F238E27FC236}">
              <a16:creationId xmlns:a16="http://schemas.microsoft.com/office/drawing/2014/main" id="{ECD2C2D7-3E62-4C56-BF81-2F34ABA5F33B}"/>
            </a:ext>
          </a:extLst>
        </xdr:cNvPr>
        <xdr:cNvSpPr/>
      </xdr:nvSpPr>
      <xdr:spPr>
        <a:xfrm>
          <a:off x="15240000" y="3333750"/>
          <a:ext cx="1828800" cy="3810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9D0BDD2D-7AB5-466A-B1C3-0CD5ECE6CEDF}" type="TxLink">
            <a:rPr lang="en-US" sz="1200" b="0" i="0" u="none" strike="noStrike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pPr algn="ctr"/>
            <a:t> R$ 1.801,00 </a:t>
          </a:fld>
          <a:endParaRPr lang="pt-BR" sz="1200" b="0">
            <a:solidFill>
              <a:srgbClr val="FFFFFF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25</xdr:col>
      <xdr:colOff>0</xdr:colOff>
      <xdr:row>21</xdr:row>
      <xdr:rowOff>9525</xdr:rowOff>
    </xdr:from>
    <xdr:to>
      <xdr:col>28</xdr:col>
      <xdr:colOff>0</xdr:colOff>
      <xdr:row>23</xdr:row>
      <xdr:rowOff>9525</xdr:rowOff>
    </xdr:to>
    <xdr:sp macro="" textlink="Cálculos!K12">
      <xdr:nvSpPr>
        <xdr:cNvPr id="105" name="Retângulo: Cantos Arredondados 104">
          <a:extLst>
            <a:ext uri="{FF2B5EF4-FFF2-40B4-BE49-F238E27FC236}">
              <a16:creationId xmlns:a16="http://schemas.microsoft.com/office/drawing/2014/main" id="{C4109636-A364-497F-B95B-A62B718761DC}"/>
            </a:ext>
          </a:extLst>
        </xdr:cNvPr>
        <xdr:cNvSpPr/>
      </xdr:nvSpPr>
      <xdr:spPr>
        <a:xfrm>
          <a:off x="15240000" y="4010025"/>
          <a:ext cx="1828800" cy="3810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2B8F4A9A-5441-4455-94BA-8FEEED0A4601}" type="TxLink">
            <a:rPr lang="en-US" sz="1200" b="0" i="0" u="none" strike="noStrike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pPr algn="ctr"/>
            <a:t> R$ 444,00 </a:t>
          </a:fld>
          <a:endParaRPr lang="pt-BR" sz="1200" b="0">
            <a:solidFill>
              <a:srgbClr val="FFFFFF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25</xdr:col>
      <xdr:colOff>0</xdr:colOff>
      <xdr:row>13</xdr:row>
      <xdr:rowOff>0</xdr:rowOff>
    </xdr:from>
    <xdr:to>
      <xdr:col>25</xdr:col>
      <xdr:colOff>216000</xdr:colOff>
      <xdr:row>14</xdr:row>
      <xdr:rowOff>25500</xdr:rowOff>
    </xdr:to>
    <xdr:sp macro="" textlink="">
      <xdr:nvSpPr>
        <xdr:cNvPr id="106" name="Fluxograma: Conector 105">
          <a:extLst>
            <a:ext uri="{FF2B5EF4-FFF2-40B4-BE49-F238E27FC236}">
              <a16:creationId xmlns:a16="http://schemas.microsoft.com/office/drawing/2014/main" id="{BE31725A-D781-BDC5-6A7D-A27582B597BA}"/>
            </a:ext>
          </a:extLst>
        </xdr:cNvPr>
        <xdr:cNvSpPr/>
      </xdr:nvSpPr>
      <xdr:spPr>
        <a:xfrm>
          <a:off x="15240000" y="2476500"/>
          <a:ext cx="216000" cy="216000"/>
        </a:xfrm>
        <a:prstGeom prst="flowChartConnector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25</xdr:col>
      <xdr:colOff>0</xdr:colOff>
      <xdr:row>16</xdr:row>
      <xdr:rowOff>117375</xdr:rowOff>
    </xdr:from>
    <xdr:to>
      <xdr:col>25</xdr:col>
      <xdr:colOff>216000</xdr:colOff>
      <xdr:row>17</xdr:row>
      <xdr:rowOff>142875</xdr:rowOff>
    </xdr:to>
    <xdr:sp macro="" textlink="">
      <xdr:nvSpPr>
        <xdr:cNvPr id="108" name="Fluxograma: Conector 107">
          <a:extLst>
            <a:ext uri="{FF2B5EF4-FFF2-40B4-BE49-F238E27FC236}">
              <a16:creationId xmlns:a16="http://schemas.microsoft.com/office/drawing/2014/main" id="{ECF772CB-A3F3-4ABD-9A3D-EBAF945F61EE}"/>
            </a:ext>
          </a:extLst>
        </xdr:cNvPr>
        <xdr:cNvSpPr/>
      </xdr:nvSpPr>
      <xdr:spPr>
        <a:xfrm>
          <a:off x="15240000" y="3165375"/>
          <a:ext cx="216000" cy="216000"/>
        </a:xfrm>
        <a:prstGeom prst="flowChartConnector">
          <a:avLst/>
        </a:prstGeom>
        <a:solidFill>
          <a:schemeClr val="accent6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25</xdr:col>
      <xdr:colOff>0</xdr:colOff>
      <xdr:row>19</xdr:row>
      <xdr:rowOff>165000</xdr:rowOff>
    </xdr:from>
    <xdr:to>
      <xdr:col>25</xdr:col>
      <xdr:colOff>216000</xdr:colOff>
      <xdr:row>21</xdr:row>
      <xdr:rowOff>0</xdr:rowOff>
    </xdr:to>
    <xdr:sp macro="" textlink="">
      <xdr:nvSpPr>
        <xdr:cNvPr id="109" name="Fluxograma: Conector 108">
          <a:extLst>
            <a:ext uri="{FF2B5EF4-FFF2-40B4-BE49-F238E27FC236}">
              <a16:creationId xmlns:a16="http://schemas.microsoft.com/office/drawing/2014/main" id="{152E5146-EE90-4045-9160-2D6C3C28FA3F}"/>
            </a:ext>
          </a:extLst>
        </xdr:cNvPr>
        <xdr:cNvSpPr/>
      </xdr:nvSpPr>
      <xdr:spPr>
        <a:xfrm>
          <a:off x="15240000" y="3784500"/>
          <a:ext cx="216000" cy="216000"/>
        </a:xfrm>
        <a:prstGeom prst="flowChartConnector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285750</xdr:colOff>
      <xdr:row>26</xdr:row>
      <xdr:rowOff>123826</xdr:rowOff>
    </xdr:from>
    <xdr:to>
      <xdr:col>25</xdr:col>
      <xdr:colOff>581025</xdr:colOff>
      <xdr:row>38</xdr:row>
      <xdr:rowOff>0</xdr:rowOff>
    </xdr:to>
    <xdr:graphicFrame macro="">
      <xdr:nvGraphicFramePr>
        <xdr:cNvPr id="110" name="Gráfico 109">
          <a:extLst>
            <a:ext uri="{FF2B5EF4-FFF2-40B4-BE49-F238E27FC236}">
              <a16:creationId xmlns:a16="http://schemas.microsoft.com/office/drawing/2014/main" id="{6813FF1F-80B4-4B24-AF2A-C377388101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26</xdr:col>
      <xdr:colOff>136425</xdr:colOff>
      <xdr:row>27</xdr:row>
      <xdr:rowOff>25500</xdr:rowOff>
    </xdr:from>
    <xdr:to>
      <xdr:col>26</xdr:col>
      <xdr:colOff>352425</xdr:colOff>
      <xdr:row>28</xdr:row>
      <xdr:rowOff>51000</xdr:rowOff>
    </xdr:to>
    <xdr:sp macro="" textlink="">
      <xdr:nvSpPr>
        <xdr:cNvPr id="111" name="Fluxograma: Conector 110">
          <a:extLst>
            <a:ext uri="{FF2B5EF4-FFF2-40B4-BE49-F238E27FC236}">
              <a16:creationId xmlns:a16="http://schemas.microsoft.com/office/drawing/2014/main" id="{6869B051-7B8F-45AC-A86C-A897E6B34727}"/>
            </a:ext>
          </a:extLst>
        </xdr:cNvPr>
        <xdr:cNvSpPr/>
      </xdr:nvSpPr>
      <xdr:spPr>
        <a:xfrm>
          <a:off x="15986025" y="5169000"/>
          <a:ext cx="216000" cy="216000"/>
        </a:xfrm>
        <a:prstGeom prst="flowChartConnector">
          <a:avLst/>
        </a:prstGeom>
        <a:solidFill>
          <a:schemeClr val="accent6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136425</xdr:colOff>
      <xdr:row>30</xdr:row>
      <xdr:rowOff>142875</xdr:rowOff>
    </xdr:from>
    <xdr:to>
      <xdr:col>26</xdr:col>
      <xdr:colOff>352425</xdr:colOff>
      <xdr:row>31</xdr:row>
      <xdr:rowOff>168375</xdr:rowOff>
    </xdr:to>
    <xdr:sp macro="" textlink="">
      <xdr:nvSpPr>
        <xdr:cNvPr id="112" name="Fluxograma: Conector 111">
          <a:extLst>
            <a:ext uri="{FF2B5EF4-FFF2-40B4-BE49-F238E27FC236}">
              <a16:creationId xmlns:a16="http://schemas.microsoft.com/office/drawing/2014/main" id="{BE382A15-392B-4AAF-B5E1-4CC30B71F2AB}"/>
            </a:ext>
          </a:extLst>
        </xdr:cNvPr>
        <xdr:cNvSpPr/>
      </xdr:nvSpPr>
      <xdr:spPr>
        <a:xfrm>
          <a:off x="15986025" y="5857875"/>
          <a:ext cx="216000" cy="216000"/>
        </a:xfrm>
        <a:prstGeom prst="flowChartConnector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136425</xdr:colOff>
      <xdr:row>34</xdr:row>
      <xdr:rowOff>0</xdr:rowOff>
    </xdr:from>
    <xdr:to>
      <xdr:col>26</xdr:col>
      <xdr:colOff>352425</xdr:colOff>
      <xdr:row>35</xdr:row>
      <xdr:rowOff>25500</xdr:rowOff>
    </xdr:to>
    <xdr:sp macro="" textlink="">
      <xdr:nvSpPr>
        <xdr:cNvPr id="113" name="Fluxograma: Conector 112">
          <a:extLst>
            <a:ext uri="{FF2B5EF4-FFF2-40B4-BE49-F238E27FC236}">
              <a16:creationId xmlns:a16="http://schemas.microsoft.com/office/drawing/2014/main" id="{F7A8D09C-7949-4932-B287-CF433A03EA75}"/>
            </a:ext>
          </a:extLst>
        </xdr:cNvPr>
        <xdr:cNvSpPr/>
      </xdr:nvSpPr>
      <xdr:spPr>
        <a:xfrm>
          <a:off x="15986025" y="6477000"/>
          <a:ext cx="216000" cy="216000"/>
        </a:xfrm>
        <a:prstGeom prst="flowChartConnector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0</xdr:colOff>
      <xdr:row>27</xdr:row>
      <xdr:rowOff>180975</xdr:rowOff>
    </xdr:from>
    <xdr:to>
      <xdr:col>29</xdr:col>
      <xdr:colOff>0</xdr:colOff>
      <xdr:row>29</xdr:row>
      <xdr:rowOff>180975</xdr:rowOff>
    </xdr:to>
    <xdr:sp macro="" textlink="Cálculos!L21">
      <xdr:nvSpPr>
        <xdr:cNvPr id="114" name="Retângulo: Cantos Arredondados 113">
          <a:extLst>
            <a:ext uri="{FF2B5EF4-FFF2-40B4-BE49-F238E27FC236}">
              <a16:creationId xmlns:a16="http://schemas.microsoft.com/office/drawing/2014/main" id="{40287D9F-F0CF-449D-9638-3473D4E3709D}"/>
            </a:ext>
          </a:extLst>
        </xdr:cNvPr>
        <xdr:cNvSpPr/>
      </xdr:nvSpPr>
      <xdr:spPr>
        <a:xfrm>
          <a:off x="15849600" y="5324475"/>
          <a:ext cx="1828800" cy="3810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DD4E5EA5-00BB-4479-983A-CAE9FE36BEBE}" type="TxLink">
            <a:rPr lang="en-US" sz="1100" b="0" i="0" u="none" strike="noStrike">
              <a:solidFill>
                <a:srgbClr val="FFFFFF"/>
              </a:solidFill>
              <a:latin typeface="Aptos Narrow"/>
              <a:cs typeface="Segoe UI" panose="020B0502040204020203" pitchFamily="34" charset="0"/>
            </a:rPr>
            <a:pPr algn="ctr"/>
            <a:t>139</a:t>
          </a:fld>
          <a:endParaRPr lang="pt-BR" sz="1200" b="0">
            <a:solidFill>
              <a:srgbClr val="FFFFFF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26</xdr:col>
      <xdr:colOff>0</xdr:colOff>
      <xdr:row>31</xdr:row>
      <xdr:rowOff>85725</xdr:rowOff>
    </xdr:from>
    <xdr:to>
      <xdr:col>29</xdr:col>
      <xdr:colOff>0</xdr:colOff>
      <xdr:row>33</xdr:row>
      <xdr:rowOff>85725</xdr:rowOff>
    </xdr:to>
    <xdr:sp macro="" textlink="Cálculos!L22">
      <xdr:nvSpPr>
        <xdr:cNvPr id="115" name="Retângulo: Cantos Arredondados 114">
          <a:extLst>
            <a:ext uri="{FF2B5EF4-FFF2-40B4-BE49-F238E27FC236}">
              <a16:creationId xmlns:a16="http://schemas.microsoft.com/office/drawing/2014/main" id="{D5B7D1D0-127E-4105-BE00-8C1532AC9EEC}"/>
            </a:ext>
          </a:extLst>
        </xdr:cNvPr>
        <xdr:cNvSpPr/>
      </xdr:nvSpPr>
      <xdr:spPr>
        <a:xfrm>
          <a:off x="15849600" y="5991225"/>
          <a:ext cx="1828800" cy="3810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0282D63D-FFD8-413D-9292-1A55F350A6C1}" type="TxLink">
            <a:rPr lang="en-US" sz="1100" b="0" i="0" u="none" strike="noStrike">
              <a:solidFill>
                <a:srgbClr val="FFFFFF"/>
              </a:solidFill>
              <a:latin typeface="Aptos Narrow"/>
              <a:cs typeface="Segoe UI" panose="020B0502040204020203" pitchFamily="34" charset="0"/>
            </a:rPr>
            <a:pPr algn="ctr"/>
            <a:t>85</a:t>
          </a:fld>
          <a:endParaRPr lang="pt-BR" sz="1200" b="0">
            <a:solidFill>
              <a:srgbClr val="FFFFFF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26</xdr:col>
      <xdr:colOff>0</xdr:colOff>
      <xdr:row>35</xdr:row>
      <xdr:rowOff>0</xdr:rowOff>
    </xdr:from>
    <xdr:to>
      <xdr:col>29</xdr:col>
      <xdr:colOff>0</xdr:colOff>
      <xdr:row>37</xdr:row>
      <xdr:rowOff>0</xdr:rowOff>
    </xdr:to>
    <xdr:sp macro="" textlink="Cálculos!L20">
      <xdr:nvSpPr>
        <xdr:cNvPr id="116" name="Retângulo: Cantos Arredondados 115">
          <a:extLst>
            <a:ext uri="{FF2B5EF4-FFF2-40B4-BE49-F238E27FC236}">
              <a16:creationId xmlns:a16="http://schemas.microsoft.com/office/drawing/2014/main" id="{D4B3301A-D47B-4BB1-804B-54EC292A0179}"/>
            </a:ext>
          </a:extLst>
        </xdr:cNvPr>
        <xdr:cNvSpPr/>
      </xdr:nvSpPr>
      <xdr:spPr>
        <a:xfrm>
          <a:off x="15849600" y="6667500"/>
          <a:ext cx="1828800" cy="3810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07C8B693-6870-410C-8A5A-17B7834CFEA5}" type="TxLink">
            <a:rPr lang="en-US" sz="1100" b="0" i="0" u="none" strike="noStrike">
              <a:solidFill>
                <a:srgbClr val="FFFFFF"/>
              </a:solidFill>
              <a:latin typeface="Aptos Narrow"/>
              <a:cs typeface="Segoe UI" panose="020B0502040204020203" pitchFamily="34" charset="0"/>
            </a:rPr>
            <a:pPr algn="ctr"/>
            <a:t>71</a:t>
          </a:fld>
          <a:endParaRPr lang="pt-BR" sz="1200" b="0">
            <a:solidFill>
              <a:srgbClr val="FFFFFF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26</xdr:col>
      <xdr:colOff>457200</xdr:colOff>
      <xdr:row>26</xdr:row>
      <xdr:rowOff>104775</xdr:rowOff>
    </xdr:from>
    <xdr:to>
      <xdr:col>29</xdr:col>
      <xdr:colOff>381000</xdr:colOff>
      <xdr:row>28</xdr:row>
      <xdr:rowOff>9525</xdr:rowOff>
    </xdr:to>
    <xdr:sp macro="" textlink="">
      <xdr:nvSpPr>
        <xdr:cNvPr id="117" name="CaixaDeTexto 116">
          <a:extLst>
            <a:ext uri="{FF2B5EF4-FFF2-40B4-BE49-F238E27FC236}">
              <a16:creationId xmlns:a16="http://schemas.microsoft.com/office/drawing/2014/main" id="{2E2A93DD-FD65-850E-33B7-A61EA572FEAD}"/>
            </a:ext>
          </a:extLst>
        </xdr:cNvPr>
        <xdr:cNvSpPr txBox="1"/>
      </xdr:nvSpPr>
      <xdr:spPr>
        <a:xfrm>
          <a:off x="16306800" y="5057775"/>
          <a:ext cx="1752600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 b="1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t>Montly</a:t>
          </a:r>
        </a:p>
      </xdr:txBody>
    </xdr:sp>
    <xdr:clientData/>
  </xdr:twoCellAnchor>
  <xdr:twoCellAnchor>
    <xdr:from>
      <xdr:col>26</xdr:col>
      <xdr:colOff>438150</xdr:colOff>
      <xdr:row>30</xdr:row>
      <xdr:rowOff>38100</xdr:rowOff>
    </xdr:from>
    <xdr:to>
      <xdr:col>29</xdr:col>
      <xdr:colOff>361950</xdr:colOff>
      <xdr:row>31</xdr:row>
      <xdr:rowOff>133350</xdr:rowOff>
    </xdr:to>
    <xdr:sp macro="" textlink="">
      <xdr:nvSpPr>
        <xdr:cNvPr id="118" name="CaixaDeTexto 117">
          <a:extLst>
            <a:ext uri="{FF2B5EF4-FFF2-40B4-BE49-F238E27FC236}">
              <a16:creationId xmlns:a16="http://schemas.microsoft.com/office/drawing/2014/main" id="{1C224FE7-1053-40E5-9B9F-960BBF900C2F}"/>
            </a:ext>
          </a:extLst>
        </xdr:cNvPr>
        <xdr:cNvSpPr txBox="1"/>
      </xdr:nvSpPr>
      <xdr:spPr>
        <a:xfrm>
          <a:off x="16287750" y="5753100"/>
          <a:ext cx="1752600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 b="1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t>Quarterly</a:t>
          </a:r>
        </a:p>
      </xdr:txBody>
    </xdr:sp>
    <xdr:clientData/>
  </xdr:twoCellAnchor>
  <xdr:twoCellAnchor>
    <xdr:from>
      <xdr:col>26</xdr:col>
      <xdr:colOff>428625</xdr:colOff>
      <xdr:row>33</xdr:row>
      <xdr:rowOff>85725</xdr:rowOff>
    </xdr:from>
    <xdr:to>
      <xdr:col>29</xdr:col>
      <xdr:colOff>352425</xdr:colOff>
      <xdr:row>34</xdr:row>
      <xdr:rowOff>180975</xdr:rowOff>
    </xdr:to>
    <xdr:sp macro="" textlink="">
      <xdr:nvSpPr>
        <xdr:cNvPr id="119" name="CaixaDeTexto 118">
          <a:extLst>
            <a:ext uri="{FF2B5EF4-FFF2-40B4-BE49-F238E27FC236}">
              <a16:creationId xmlns:a16="http://schemas.microsoft.com/office/drawing/2014/main" id="{EA05019A-7117-45B3-9F52-714B320082FA}"/>
            </a:ext>
          </a:extLst>
        </xdr:cNvPr>
        <xdr:cNvSpPr txBox="1"/>
      </xdr:nvSpPr>
      <xdr:spPr>
        <a:xfrm>
          <a:off x="16278225" y="6372225"/>
          <a:ext cx="1752600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 b="1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t>Annual</a:t>
          </a:r>
        </a:p>
      </xdr:txBody>
    </xdr:sp>
    <xdr:clientData/>
  </xdr:twoCellAnchor>
  <xdr:twoCellAnchor>
    <xdr:from>
      <xdr:col>13</xdr:col>
      <xdr:colOff>333375</xdr:colOff>
      <xdr:row>26</xdr:row>
      <xdr:rowOff>100013</xdr:rowOff>
    </xdr:from>
    <xdr:to>
      <xdr:col>16</xdr:col>
      <xdr:colOff>571500</xdr:colOff>
      <xdr:row>34</xdr:row>
      <xdr:rowOff>152400</xdr:rowOff>
    </xdr:to>
    <xdr:grpSp>
      <xdr:nvGrpSpPr>
        <xdr:cNvPr id="122" name="Agrupar 121">
          <a:extLst>
            <a:ext uri="{FF2B5EF4-FFF2-40B4-BE49-F238E27FC236}">
              <a16:creationId xmlns:a16="http://schemas.microsoft.com/office/drawing/2014/main" id="{D45471FD-1D98-2DAC-5A0F-FFC751349175}"/>
            </a:ext>
          </a:extLst>
        </xdr:cNvPr>
        <xdr:cNvGrpSpPr/>
      </xdr:nvGrpSpPr>
      <xdr:grpSpPr>
        <a:xfrm>
          <a:off x="8258175" y="5053013"/>
          <a:ext cx="2066925" cy="1576387"/>
          <a:chOff x="8534400" y="5091113"/>
          <a:chExt cx="2066925" cy="1385887"/>
        </a:xfrm>
      </xdr:grpSpPr>
      <xdr:graphicFrame macro="">
        <xdr:nvGraphicFramePr>
          <xdr:cNvPr id="120" name="Gráfico 119">
            <a:extLst>
              <a:ext uri="{FF2B5EF4-FFF2-40B4-BE49-F238E27FC236}">
                <a16:creationId xmlns:a16="http://schemas.microsoft.com/office/drawing/2014/main" id="{BD600A87-EEB2-4391-94A3-4468CAEECA4A}"/>
              </a:ext>
            </a:extLst>
          </xdr:cNvPr>
          <xdr:cNvGraphicFramePr>
            <a:graphicFrameLocks/>
          </xdr:cNvGraphicFramePr>
        </xdr:nvGraphicFramePr>
        <xdr:xfrm>
          <a:off x="8534400" y="5091113"/>
          <a:ext cx="2066925" cy="138588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1"/>
          </a:graphicData>
        </a:graphic>
      </xdr:graphicFrame>
      <xdr:sp macro="" textlink="Cálculos!N9">
        <xdr:nvSpPr>
          <xdr:cNvPr id="121" name="Retângulo 120">
            <a:extLst>
              <a:ext uri="{FF2B5EF4-FFF2-40B4-BE49-F238E27FC236}">
                <a16:creationId xmlns:a16="http://schemas.microsoft.com/office/drawing/2014/main" id="{CE27565C-B43C-1978-2E33-07CC0233476B}"/>
              </a:ext>
            </a:extLst>
          </xdr:cNvPr>
          <xdr:cNvSpPr/>
        </xdr:nvSpPr>
        <xdr:spPr>
          <a:xfrm>
            <a:off x="9277350" y="5524500"/>
            <a:ext cx="609600" cy="47625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90381F75-7A2C-41E0-AEE0-50ED4E78FAEF}" type="TxLink">
              <a:rPr lang="en-US" sz="1600" b="1" i="0" u="none" strike="noStrike">
                <a:solidFill>
                  <a:srgbClr val="FFFFFF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33%</a:t>
            </a:fld>
            <a:endParaRPr lang="pt-BR" sz="1600" b="1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13</xdr:col>
      <xdr:colOff>523875</xdr:colOff>
      <xdr:row>34</xdr:row>
      <xdr:rowOff>85725</xdr:rowOff>
    </xdr:from>
    <xdr:to>
      <xdr:col>16</xdr:col>
      <xdr:colOff>409575</xdr:colOff>
      <xdr:row>35</xdr:row>
      <xdr:rowOff>180975</xdr:rowOff>
    </xdr:to>
    <xdr:sp macro="" textlink="">
      <xdr:nvSpPr>
        <xdr:cNvPr id="123" name="CaixaDeTexto 122">
          <a:extLst>
            <a:ext uri="{FF2B5EF4-FFF2-40B4-BE49-F238E27FC236}">
              <a16:creationId xmlns:a16="http://schemas.microsoft.com/office/drawing/2014/main" id="{ED6F1175-FF33-5774-AB62-DEB28D9C4BBC}"/>
            </a:ext>
          </a:extLst>
        </xdr:cNvPr>
        <xdr:cNvSpPr txBox="1"/>
      </xdr:nvSpPr>
      <xdr:spPr>
        <a:xfrm>
          <a:off x="8448675" y="6562725"/>
          <a:ext cx="1714500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t>EA PLAY</a:t>
          </a:r>
        </a:p>
      </xdr:txBody>
    </xdr:sp>
    <xdr:clientData/>
  </xdr:twoCellAnchor>
  <xdr:twoCellAnchor>
    <xdr:from>
      <xdr:col>17</xdr:col>
      <xdr:colOff>304800</xdr:colOff>
      <xdr:row>34</xdr:row>
      <xdr:rowOff>28575</xdr:rowOff>
    </xdr:from>
    <xdr:to>
      <xdr:col>20</xdr:col>
      <xdr:colOff>190500</xdr:colOff>
      <xdr:row>35</xdr:row>
      <xdr:rowOff>123825</xdr:rowOff>
    </xdr:to>
    <xdr:sp macro="" textlink="">
      <xdr:nvSpPr>
        <xdr:cNvPr id="125" name="CaixaDeTexto 124">
          <a:extLst>
            <a:ext uri="{FF2B5EF4-FFF2-40B4-BE49-F238E27FC236}">
              <a16:creationId xmlns:a16="http://schemas.microsoft.com/office/drawing/2014/main" id="{2C42848E-E989-4752-9602-381CF36662DF}"/>
            </a:ext>
          </a:extLst>
        </xdr:cNvPr>
        <xdr:cNvSpPr txBox="1"/>
      </xdr:nvSpPr>
      <xdr:spPr>
        <a:xfrm>
          <a:off x="10668000" y="6505575"/>
          <a:ext cx="1714500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t>MINECRAFT PASS</a:t>
          </a:r>
        </a:p>
      </xdr:txBody>
    </xdr:sp>
    <xdr:clientData/>
  </xdr:twoCellAnchor>
  <xdr:twoCellAnchor>
    <xdr:from>
      <xdr:col>17</xdr:col>
      <xdr:colOff>209550</xdr:colOff>
      <xdr:row>26</xdr:row>
      <xdr:rowOff>71438</xdr:rowOff>
    </xdr:from>
    <xdr:to>
      <xdr:col>20</xdr:col>
      <xdr:colOff>209550</xdr:colOff>
      <xdr:row>34</xdr:row>
      <xdr:rowOff>133350</xdr:rowOff>
    </xdr:to>
    <xdr:graphicFrame macro="">
      <xdr:nvGraphicFramePr>
        <xdr:cNvPr id="127" name="Gráfico 126">
          <a:extLst>
            <a:ext uri="{FF2B5EF4-FFF2-40B4-BE49-F238E27FC236}">
              <a16:creationId xmlns:a16="http://schemas.microsoft.com/office/drawing/2014/main" id="{AD134F84-5652-47AE-96D4-D86BA6C3E3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18</xdr:col>
      <xdr:colOff>219075</xdr:colOff>
      <xdr:row>29</xdr:row>
      <xdr:rowOff>9525</xdr:rowOff>
    </xdr:from>
    <xdr:to>
      <xdr:col>19</xdr:col>
      <xdr:colOff>219075</xdr:colOff>
      <xdr:row>32</xdr:row>
      <xdr:rowOff>9525</xdr:rowOff>
    </xdr:to>
    <xdr:sp macro="" textlink="Cálculos!N21">
      <xdr:nvSpPr>
        <xdr:cNvPr id="128" name="Retângulo 127">
          <a:extLst>
            <a:ext uri="{FF2B5EF4-FFF2-40B4-BE49-F238E27FC236}">
              <a16:creationId xmlns:a16="http://schemas.microsoft.com/office/drawing/2014/main" id="{6E9AF6F7-9582-5503-E8F8-0D88E0589D8B}"/>
            </a:ext>
          </a:extLst>
        </xdr:cNvPr>
        <xdr:cNvSpPr/>
      </xdr:nvSpPr>
      <xdr:spPr>
        <a:xfrm>
          <a:off x="11191875" y="5534025"/>
          <a:ext cx="609600" cy="5715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20EF024-A3C7-4C69-973A-52DEA6840A02}" type="TxLink">
            <a:rPr lang="en-US" sz="1400" b="1" i="0" u="none" strike="noStrike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pPr algn="ctr"/>
            <a:t>66%</a:t>
          </a:fld>
          <a:endParaRPr lang="pt-BR" sz="1400" b="1">
            <a:solidFill>
              <a:srgbClr val="FFFFFF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15</xdr:col>
      <xdr:colOff>561975</xdr:colOff>
      <xdr:row>34</xdr:row>
      <xdr:rowOff>28575</xdr:rowOff>
    </xdr:from>
    <xdr:to>
      <xdr:col>16</xdr:col>
      <xdr:colOff>561975</xdr:colOff>
      <xdr:row>36</xdr:row>
      <xdr:rowOff>28575</xdr:rowOff>
    </xdr:to>
    <xdr:sp macro="" textlink="Cálculos!N10">
      <xdr:nvSpPr>
        <xdr:cNvPr id="129" name="Retângulo 128">
          <a:extLst>
            <a:ext uri="{FF2B5EF4-FFF2-40B4-BE49-F238E27FC236}">
              <a16:creationId xmlns:a16="http://schemas.microsoft.com/office/drawing/2014/main" id="{8E47A2DB-00D1-2E48-75FA-3261E2B336AE}"/>
            </a:ext>
          </a:extLst>
        </xdr:cNvPr>
        <xdr:cNvSpPr/>
      </xdr:nvSpPr>
      <xdr:spPr>
        <a:xfrm>
          <a:off x="9705975" y="6505575"/>
          <a:ext cx="609600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fld id="{BDAC1F76-4A84-4ED9-92D9-FAE3EE7A30EE}" type="TxLink">
            <a:rPr lang="en-US" sz="1050" b="0" i="0" u="none" strike="noStrike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pPr algn="r"/>
            <a:t>98</a:t>
          </a:fld>
          <a:endParaRPr lang="pt-BR" sz="1050" b="0">
            <a:solidFill>
              <a:srgbClr val="FFFFFF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19</xdr:col>
      <xdr:colOff>600075</xdr:colOff>
      <xdr:row>34</xdr:row>
      <xdr:rowOff>19050</xdr:rowOff>
    </xdr:from>
    <xdr:to>
      <xdr:col>20</xdr:col>
      <xdr:colOff>600075</xdr:colOff>
      <xdr:row>36</xdr:row>
      <xdr:rowOff>19050</xdr:rowOff>
    </xdr:to>
    <xdr:sp macro="" textlink="Cálculos!N22">
      <xdr:nvSpPr>
        <xdr:cNvPr id="130" name="Retângulo 129">
          <a:extLst>
            <a:ext uri="{FF2B5EF4-FFF2-40B4-BE49-F238E27FC236}">
              <a16:creationId xmlns:a16="http://schemas.microsoft.com/office/drawing/2014/main" id="{A660AD75-3D09-429D-B8FA-FC767487C91A}"/>
            </a:ext>
          </a:extLst>
        </xdr:cNvPr>
        <xdr:cNvSpPr/>
      </xdr:nvSpPr>
      <xdr:spPr>
        <a:xfrm>
          <a:off x="12182475" y="6496050"/>
          <a:ext cx="609600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fld id="{FB43106D-BB9B-4672-9028-9829D8281394}" type="TxLink">
            <a:rPr lang="en-US" sz="1050" b="0" i="0" u="none" strike="noStrike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pPr algn="r"/>
            <a:t>194</a:t>
          </a:fld>
          <a:endParaRPr lang="pt-BR" sz="1050" b="0">
            <a:solidFill>
              <a:srgbClr val="FFFFFF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15</xdr:col>
      <xdr:colOff>219075</xdr:colOff>
      <xdr:row>35</xdr:row>
      <xdr:rowOff>19050</xdr:rowOff>
    </xdr:from>
    <xdr:to>
      <xdr:col>17</xdr:col>
      <xdr:colOff>219075</xdr:colOff>
      <xdr:row>36</xdr:row>
      <xdr:rowOff>19050</xdr:rowOff>
    </xdr:to>
    <xdr:sp macro="" textlink="">
      <xdr:nvSpPr>
        <xdr:cNvPr id="131" name="CaixaDeTexto 130">
          <a:extLst>
            <a:ext uri="{FF2B5EF4-FFF2-40B4-BE49-F238E27FC236}">
              <a16:creationId xmlns:a16="http://schemas.microsoft.com/office/drawing/2014/main" id="{DCB230E4-6220-0A58-6016-F844682E59E9}"/>
            </a:ext>
          </a:extLst>
        </xdr:cNvPr>
        <xdr:cNvSpPr txBox="1"/>
      </xdr:nvSpPr>
      <xdr:spPr>
        <a:xfrm>
          <a:off x="9363075" y="6686550"/>
          <a:ext cx="121920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pt-BR" sz="1100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t>subscribers</a:t>
          </a:r>
        </a:p>
      </xdr:txBody>
    </xdr:sp>
    <xdr:clientData/>
  </xdr:twoCellAnchor>
  <xdr:twoCellAnchor>
    <xdr:from>
      <xdr:col>19</xdr:col>
      <xdr:colOff>180975</xdr:colOff>
      <xdr:row>35</xdr:row>
      <xdr:rowOff>95250</xdr:rowOff>
    </xdr:from>
    <xdr:to>
      <xdr:col>21</xdr:col>
      <xdr:colOff>180975</xdr:colOff>
      <xdr:row>36</xdr:row>
      <xdr:rowOff>95250</xdr:rowOff>
    </xdr:to>
    <xdr:sp macro="" textlink="">
      <xdr:nvSpPr>
        <xdr:cNvPr id="133" name="CaixaDeTexto 132">
          <a:extLst>
            <a:ext uri="{FF2B5EF4-FFF2-40B4-BE49-F238E27FC236}">
              <a16:creationId xmlns:a16="http://schemas.microsoft.com/office/drawing/2014/main" id="{DC2A0C12-EF5E-40FF-9244-283D05C7BCD5}"/>
            </a:ext>
          </a:extLst>
        </xdr:cNvPr>
        <xdr:cNvSpPr txBox="1"/>
      </xdr:nvSpPr>
      <xdr:spPr>
        <a:xfrm>
          <a:off x="11763375" y="6762750"/>
          <a:ext cx="121920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r"/>
          <a:r>
            <a:rPr lang="pt-BR" sz="1100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t>subscribers</a:t>
          </a:r>
        </a:p>
      </xdr:txBody>
    </xdr:sp>
    <xdr:clientData/>
  </xdr:twoCellAnchor>
  <xdr:twoCellAnchor>
    <xdr:from>
      <xdr:col>18</xdr:col>
      <xdr:colOff>171450</xdr:colOff>
      <xdr:row>8</xdr:row>
      <xdr:rowOff>0</xdr:rowOff>
    </xdr:from>
    <xdr:to>
      <xdr:col>20</xdr:col>
      <xdr:colOff>333375</xdr:colOff>
      <xdr:row>10</xdr:row>
      <xdr:rowOff>66675</xdr:rowOff>
    </xdr:to>
    <xdr:sp macro="" textlink="Cálculos!K28">
      <xdr:nvSpPr>
        <xdr:cNvPr id="134" name="Retângulo 133">
          <a:extLst>
            <a:ext uri="{FF2B5EF4-FFF2-40B4-BE49-F238E27FC236}">
              <a16:creationId xmlns:a16="http://schemas.microsoft.com/office/drawing/2014/main" id="{4224289B-6F65-892A-A9DB-02CD2E490F54}"/>
            </a:ext>
          </a:extLst>
        </xdr:cNvPr>
        <xdr:cNvSpPr/>
      </xdr:nvSpPr>
      <xdr:spPr>
        <a:xfrm>
          <a:off x="11144250" y="1524000"/>
          <a:ext cx="1381125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90AB0089-18F1-482F-947B-83A0899E3336}" type="TxLink">
            <a:rPr lang="en-US" sz="1800" b="1" i="0" u="none" strike="noStrike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pPr algn="ctr"/>
            <a:t> R$ 25,87 </a:t>
          </a:fld>
          <a:endParaRPr lang="pt-BR" sz="1800" b="1">
            <a:solidFill>
              <a:srgbClr val="FFFFFF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20</xdr:col>
      <xdr:colOff>390524</xdr:colOff>
      <xdr:row>7</xdr:row>
      <xdr:rowOff>152399</xdr:rowOff>
    </xdr:from>
    <xdr:to>
      <xdr:col>22</xdr:col>
      <xdr:colOff>209549</xdr:colOff>
      <xdr:row>11</xdr:row>
      <xdr:rowOff>47624</xdr:rowOff>
    </xdr:to>
    <xdr:sp macro="" textlink="">
      <xdr:nvSpPr>
        <xdr:cNvPr id="135" name="CaixaDeTexto 134">
          <a:extLst>
            <a:ext uri="{FF2B5EF4-FFF2-40B4-BE49-F238E27FC236}">
              <a16:creationId xmlns:a16="http://schemas.microsoft.com/office/drawing/2014/main" id="{BB45CBB9-A78A-D2D5-88BC-384FA21905F1}"/>
            </a:ext>
          </a:extLst>
        </xdr:cNvPr>
        <xdr:cNvSpPr txBox="1"/>
      </xdr:nvSpPr>
      <xdr:spPr>
        <a:xfrm>
          <a:off x="12582524" y="1485899"/>
          <a:ext cx="1038225" cy="657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t>by</a:t>
          </a:r>
        </a:p>
        <a:p>
          <a:r>
            <a:rPr lang="pt-BR" sz="1100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t>subscription</a:t>
          </a:r>
        </a:p>
      </xdr:txBody>
    </xdr:sp>
    <xdr:clientData/>
  </xdr:twoCellAnchor>
  <xdr:twoCellAnchor>
    <xdr:from>
      <xdr:col>0</xdr:col>
      <xdr:colOff>190500</xdr:colOff>
      <xdr:row>6</xdr:row>
      <xdr:rowOff>114300</xdr:rowOff>
    </xdr:from>
    <xdr:to>
      <xdr:col>2</xdr:col>
      <xdr:colOff>571500</xdr:colOff>
      <xdr:row>9</xdr:row>
      <xdr:rowOff>114300</xdr:rowOff>
    </xdr:to>
    <xdr:sp macro="" textlink="">
      <xdr:nvSpPr>
        <xdr:cNvPr id="136" name="CaixaDeTexto 135">
          <a:extLst>
            <a:ext uri="{FF2B5EF4-FFF2-40B4-BE49-F238E27FC236}">
              <a16:creationId xmlns:a16="http://schemas.microsoft.com/office/drawing/2014/main" id="{DF5EC3A9-9875-0273-A31E-F4F24DB0999F}"/>
            </a:ext>
          </a:extLst>
        </xdr:cNvPr>
        <xdr:cNvSpPr txBox="1"/>
      </xdr:nvSpPr>
      <xdr:spPr>
        <a:xfrm>
          <a:off x="190500" y="1257300"/>
          <a:ext cx="1600200" cy="571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 b="1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t>SUBSCRIPTION</a:t>
          </a:r>
        </a:p>
        <a:p>
          <a:r>
            <a:rPr lang="pt-BR" sz="1200" b="1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t>TYPE</a:t>
          </a:r>
        </a:p>
      </xdr:txBody>
    </xdr:sp>
    <xdr:clientData/>
  </xdr:twoCellAnchor>
  <xdr:twoCellAnchor>
    <xdr:from>
      <xdr:col>0</xdr:col>
      <xdr:colOff>276225</xdr:colOff>
      <xdr:row>0</xdr:row>
      <xdr:rowOff>180975</xdr:rowOff>
    </xdr:from>
    <xdr:to>
      <xdr:col>3</xdr:col>
      <xdr:colOff>171450</xdr:colOff>
      <xdr:row>3</xdr:row>
      <xdr:rowOff>180975</xdr:rowOff>
    </xdr:to>
    <xdr:grpSp>
      <xdr:nvGrpSpPr>
        <xdr:cNvPr id="140" name="Agrupar 139">
          <a:extLst>
            <a:ext uri="{FF2B5EF4-FFF2-40B4-BE49-F238E27FC236}">
              <a16:creationId xmlns:a16="http://schemas.microsoft.com/office/drawing/2014/main" id="{B1B6329C-1B6E-2C25-AD64-C87C903CA022}"/>
            </a:ext>
          </a:extLst>
        </xdr:cNvPr>
        <xdr:cNvGrpSpPr/>
      </xdr:nvGrpSpPr>
      <xdr:grpSpPr>
        <a:xfrm>
          <a:off x="276225" y="180975"/>
          <a:ext cx="1724025" cy="571500"/>
          <a:chOff x="219075" y="123825"/>
          <a:chExt cx="1724025" cy="571500"/>
        </a:xfrm>
      </xdr:grpSpPr>
      <xdr:pic>
        <xdr:nvPicPr>
          <xdr:cNvPr id="138" name="Imagem 137">
            <a:extLst>
              <a:ext uri="{FF2B5EF4-FFF2-40B4-BE49-F238E27FC236}">
                <a16:creationId xmlns:a16="http://schemas.microsoft.com/office/drawing/2014/main" id="{AFA8EA16-FAF5-D7DA-AA24-FCAB6DC3DB1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"/>
          <a:stretch>
            <a:fillRect/>
          </a:stretch>
        </xdr:blipFill>
        <xdr:spPr>
          <a:xfrm>
            <a:off x="219075" y="152400"/>
            <a:ext cx="485775" cy="485775"/>
          </a:xfrm>
          <a:prstGeom prst="rect">
            <a:avLst/>
          </a:prstGeom>
        </xdr:spPr>
      </xdr:pic>
      <xdr:sp macro="" textlink="">
        <xdr:nvSpPr>
          <xdr:cNvPr id="139" name="CaixaDeTexto 138">
            <a:extLst>
              <a:ext uri="{FF2B5EF4-FFF2-40B4-BE49-F238E27FC236}">
                <a16:creationId xmlns:a16="http://schemas.microsoft.com/office/drawing/2014/main" id="{9F2377B0-858C-5718-6BB2-BE3DC9EA468A}"/>
              </a:ext>
            </a:extLst>
          </xdr:cNvPr>
          <xdr:cNvSpPr txBox="1"/>
        </xdr:nvSpPr>
        <xdr:spPr>
          <a:xfrm>
            <a:off x="838200" y="123825"/>
            <a:ext cx="1104900" cy="571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pt-BR" sz="1100">
                <a:solidFill>
                  <a:srgbClr val="FFFFFF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Hello!</a:t>
            </a:r>
          </a:p>
          <a:p>
            <a:r>
              <a:rPr lang="pt-BR" sz="1100">
                <a:solidFill>
                  <a:srgbClr val="FFFFFF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A.J.</a:t>
            </a:r>
          </a:p>
        </xdr:txBody>
      </xdr:sp>
    </xdr:grpSp>
    <xdr:clientData/>
  </xdr:twoCellAnchor>
  <xdr:twoCellAnchor>
    <xdr:from>
      <xdr:col>24</xdr:col>
      <xdr:colOff>600075</xdr:colOff>
      <xdr:row>28</xdr:row>
      <xdr:rowOff>123825</xdr:rowOff>
    </xdr:from>
    <xdr:to>
      <xdr:col>26</xdr:col>
      <xdr:colOff>600075</xdr:colOff>
      <xdr:row>29</xdr:row>
      <xdr:rowOff>123825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9BDFC10C-E79A-4E25-8F77-DEC9BB248371}"/>
            </a:ext>
          </a:extLst>
        </xdr:cNvPr>
        <xdr:cNvSpPr txBox="1"/>
      </xdr:nvSpPr>
      <xdr:spPr>
        <a:xfrm>
          <a:off x="15230475" y="5457825"/>
          <a:ext cx="121920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r"/>
          <a:r>
            <a:rPr lang="pt-BR" sz="1100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t>subscribers:</a:t>
          </a:r>
        </a:p>
      </xdr:txBody>
    </xdr:sp>
    <xdr:clientData/>
  </xdr:twoCellAnchor>
  <xdr:twoCellAnchor>
    <xdr:from>
      <xdr:col>25</xdr:col>
      <xdr:colOff>38100</xdr:colOff>
      <xdr:row>32</xdr:row>
      <xdr:rowOff>47625</xdr:rowOff>
    </xdr:from>
    <xdr:to>
      <xdr:col>27</xdr:col>
      <xdr:colOff>38100</xdr:colOff>
      <xdr:row>33</xdr:row>
      <xdr:rowOff>47625</xdr:rowOff>
    </xdr:to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4D6A3091-BAC0-444C-A89B-D5FAEE8DB2C2}"/>
            </a:ext>
          </a:extLst>
        </xdr:cNvPr>
        <xdr:cNvSpPr txBox="1"/>
      </xdr:nvSpPr>
      <xdr:spPr>
        <a:xfrm>
          <a:off x="15278100" y="6143625"/>
          <a:ext cx="121920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r"/>
          <a:r>
            <a:rPr lang="pt-BR" sz="1100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t>subscribers:</a:t>
          </a:r>
        </a:p>
      </xdr:txBody>
    </xdr:sp>
    <xdr:clientData/>
  </xdr:twoCellAnchor>
  <xdr:twoCellAnchor>
    <xdr:from>
      <xdr:col>25</xdr:col>
      <xdr:colOff>38100</xdr:colOff>
      <xdr:row>35</xdr:row>
      <xdr:rowOff>114300</xdr:rowOff>
    </xdr:from>
    <xdr:to>
      <xdr:col>27</xdr:col>
      <xdr:colOff>38100</xdr:colOff>
      <xdr:row>36</xdr:row>
      <xdr:rowOff>114300</xdr:rowOff>
    </xdr:to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A004D755-8ABC-4347-9342-97EA5D8BCF2B}"/>
            </a:ext>
          </a:extLst>
        </xdr:cNvPr>
        <xdr:cNvSpPr txBox="1"/>
      </xdr:nvSpPr>
      <xdr:spPr>
        <a:xfrm>
          <a:off x="15278100" y="6781800"/>
          <a:ext cx="121920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r"/>
          <a:r>
            <a:rPr lang="pt-BR" sz="1100">
              <a:solidFill>
                <a:srgbClr val="FFFFFF"/>
              </a:solidFill>
              <a:latin typeface="Segoe UI" panose="020B0502040204020203" pitchFamily="34" charset="0"/>
              <a:cs typeface="Segoe UI" panose="020B0502040204020203" pitchFamily="34" charset="0"/>
            </a:rPr>
            <a:t>subscribers: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ilson Jose Campos Correa" refreshedDate="46143.663710879628" createdVersion="8" refreshedVersion="8" minRefreshableVersion="3" recordCount="295" xr:uid="{40E0DE20-5BC1-483C-8C77-74E51A300DB4}">
  <cacheSource type="worksheet">
    <worksheetSource ref="A1:P296" sheet="Bases"/>
  </cacheSource>
  <cacheFields count="17">
    <cacheField name="Subscriber ID" numFmtId="0">
      <sharedItems containsSemiMixedTypes="0" containsString="0" containsNumber="1" containsInteger="1" minValue="1010" maxValue="1304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5-01-01T00:00:00" maxDate="2025-12-17T00:00:00"/>
    </cacheField>
    <cacheField name="Month" numFmtId="164">
      <sharedItems containsSemiMixedTypes="0" containsNonDate="0" containsDate="1" containsString="0" minDate="2025-01-01T00:00:00" maxDate="2025-12-17T00:00:00" count="294">
        <d v="2025-01-01T00:00:00"/>
        <d v="2025-01-15T00:00:00"/>
        <d v="2025-02-10T00:00:00"/>
        <d v="2025-02-20T00:00:00"/>
        <d v="2025-03-05T00:00:00"/>
        <d v="2025-03-02T00:00:00"/>
        <d v="2025-03-03T00:00:00"/>
        <d v="2025-03-04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</sharedItems>
      <fieldGroup par="16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SemiMixedTypes="0" containsString="0" containsNumber="1" containsInteger="1" minValue="0" maxValue="30"/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Region" numFmtId="0">
      <sharedItems count="5">
        <s v="North"/>
        <s v="Central-west"/>
        <s v="South"/>
        <s v="Northeast"/>
        <s v="Southeast"/>
      </sharedItems>
    </cacheField>
    <cacheField name="Total Value" numFmtId="44">
      <sharedItems containsSemiMixedTypes="0" containsString="0" containsNumber="1" containsInteger="1" minValue="3" maxValue="62"/>
    </cacheField>
    <cacheField name="Dias (Month)" numFmtId="0" databaseField="0">
      <fieldGroup base="4">
        <rangePr groupBy="days" startDate="2025-01-01T00:00:00" endDate="2025-12-17T00:00:00"/>
        <groupItems count="368">
          <s v="&lt;01/01/2025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7/12/2025"/>
        </groupItems>
      </fieldGroup>
    </cacheField>
    <cacheField name="Meses (Month)" numFmtId="0" databaseField="0">
      <fieldGroup base="4">
        <rangePr groupBy="months" startDate="2025-01-01T00:00:00" endDate="2025-12-17T00:00:00"/>
        <groupItems count="14">
          <s v="&lt;01/01/2025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5"/>
        </groupItems>
      </fieldGroup>
    </cacheField>
  </cacheFields>
  <extLst>
    <ext xmlns:x14="http://schemas.microsoft.com/office/spreadsheetml/2009/9/main" uri="{725AE2AE-9491-48be-B2B4-4EB974FC3084}">
      <x14:pivotCacheDefinition pivotCacheId="26851268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1010"/>
    <s v="João Silva"/>
    <x v="0"/>
    <d v="2025-01-01T00:00:00"/>
    <x v="0"/>
    <x v="0"/>
    <n v="15"/>
    <x v="0"/>
    <x v="0"/>
    <n v="30"/>
    <x v="0"/>
    <n v="20"/>
    <n v="5"/>
    <x v="0"/>
    <n v="60"/>
  </r>
  <r>
    <n v="1011"/>
    <s v="Maria Oliveira"/>
    <x v="1"/>
    <d v="2025-01-15T00:00:00"/>
    <x v="1"/>
    <x v="1"/>
    <n v="5"/>
    <x v="1"/>
    <x v="1"/>
    <n v="0"/>
    <x v="1"/>
    <n v="0"/>
    <n v="0"/>
    <x v="1"/>
    <n v="5"/>
  </r>
  <r>
    <n v="1012"/>
    <s v="Lucas Fernandes"/>
    <x v="2"/>
    <d v="2025-02-10T00:00:00"/>
    <x v="2"/>
    <x v="0"/>
    <n v="10"/>
    <x v="2"/>
    <x v="1"/>
    <n v="0"/>
    <x v="0"/>
    <n v="20"/>
    <n v="10"/>
    <x v="2"/>
    <n v="20"/>
  </r>
  <r>
    <n v="1013"/>
    <s v="Ana Souza"/>
    <x v="0"/>
    <d v="2025-02-20T00:00:00"/>
    <x v="3"/>
    <x v="1"/>
    <n v="15"/>
    <x v="0"/>
    <x v="0"/>
    <n v="30"/>
    <x v="0"/>
    <n v="20"/>
    <n v="3"/>
    <x v="1"/>
    <n v="62"/>
  </r>
  <r>
    <n v="1014"/>
    <s v="Pedro Gonçalves"/>
    <x v="1"/>
    <d v="2025-03-05T00:00:00"/>
    <x v="4"/>
    <x v="0"/>
    <n v="5"/>
    <x v="0"/>
    <x v="1"/>
    <n v="0"/>
    <x v="1"/>
    <n v="0"/>
    <n v="1"/>
    <x v="3"/>
    <n v="4"/>
  </r>
  <r>
    <n v="1015"/>
    <s v="Felipe Costa"/>
    <x v="2"/>
    <d v="2025-03-02T00:00:00"/>
    <x v="5"/>
    <x v="1"/>
    <n v="10"/>
    <x v="0"/>
    <x v="1"/>
    <n v="0"/>
    <x v="0"/>
    <n v="20"/>
    <n v="2"/>
    <x v="2"/>
    <n v="28"/>
  </r>
  <r>
    <n v="1016"/>
    <s v="Camila Ribeiro"/>
    <x v="0"/>
    <d v="2025-03-03T00:00:00"/>
    <x v="6"/>
    <x v="0"/>
    <n v="15"/>
    <x v="2"/>
    <x v="0"/>
    <n v="30"/>
    <x v="0"/>
    <n v="20"/>
    <n v="10"/>
    <x v="0"/>
    <n v="55"/>
  </r>
  <r>
    <n v="1017"/>
    <s v="André Mendes"/>
    <x v="1"/>
    <d v="2025-03-04T00:00:00"/>
    <x v="7"/>
    <x v="0"/>
    <n v="5"/>
    <x v="1"/>
    <x v="1"/>
    <n v="0"/>
    <x v="1"/>
    <n v="0"/>
    <n v="0"/>
    <x v="4"/>
    <n v="5"/>
  </r>
  <r>
    <n v="1018"/>
    <s v="Sofia Almeida"/>
    <x v="0"/>
    <d v="2025-03-05T00:00:00"/>
    <x v="4"/>
    <x v="1"/>
    <n v="15"/>
    <x v="0"/>
    <x v="0"/>
    <n v="30"/>
    <x v="0"/>
    <n v="20"/>
    <n v="5"/>
    <x v="1"/>
    <n v="60"/>
  </r>
  <r>
    <n v="1019"/>
    <s v="Bruno Martins"/>
    <x v="2"/>
    <d v="2025-03-06T00:00:00"/>
    <x v="8"/>
    <x v="0"/>
    <n v="10"/>
    <x v="2"/>
    <x v="1"/>
    <n v="0"/>
    <x v="0"/>
    <n v="20"/>
    <n v="15"/>
    <x v="1"/>
    <n v="15"/>
  </r>
  <r>
    <n v="1020"/>
    <s v="Rita Castro"/>
    <x v="1"/>
    <d v="2025-03-07T00:00:00"/>
    <x v="9"/>
    <x v="1"/>
    <n v="5"/>
    <x v="0"/>
    <x v="1"/>
    <n v="0"/>
    <x v="1"/>
    <n v="0"/>
    <n v="1"/>
    <x v="0"/>
    <n v="4"/>
  </r>
  <r>
    <n v="1021"/>
    <s v="Marco Túlio"/>
    <x v="0"/>
    <d v="2025-03-08T00:00:00"/>
    <x v="10"/>
    <x v="0"/>
    <n v="15"/>
    <x v="1"/>
    <x v="0"/>
    <n v="30"/>
    <x v="0"/>
    <n v="20"/>
    <n v="20"/>
    <x v="0"/>
    <n v="45"/>
  </r>
  <r>
    <n v="1022"/>
    <s v="Lívia Silveira"/>
    <x v="2"/>
    <d v="2025-03-09T00:00:00"/>
    <x v="11"/>
    <x v="1"/>
    <n v="10"/>
    <x v="0"/>
    <x v="1"/>
    <n v="0"/>
    <x v="0"/>
    <n v="20"/>
    <n v="10"/>
    <x v="2"/>
    <n v="20"/>
  </r>
  <r>
    <n v="1023"/>
    <s v="Diogo Sousa"/>
    <x v="1"/>
    <d v="2025-03-10T00:00:00"/>
    <x v="12"/>
    <x v="0"/>
    <n v="5"/>
    <x v="2"/>
    <x v="1"/>
    <n v="0"/>
    <x v="1"/>
    <n v="0"/>
    <n v="0"/>
    <x v="2"/>
    <n v="5"/>
  </r>
  <r>
    <n v="1024"/>
    <s v="Fernanda Lima"/>
    <x v="0"/>
    <d v="2025-03-11T00:00:00"/>
    <x v="13"/>
    <x v="1"/>
    <n v="15"/>
    <x v="0"/>
    <x v="0"/>
    <n v="30"/>
    <x v="0"/>
    <n v="20"/>
    <n v="8"/>
    <x v="3"/>
    <n v="57"/>
  </r>
  <r>
    <n v="1025"/>
    <s v="Caio Pereira"/>
    <x v="2"/>
    <d v="2025-03-12T00:00:00"/>
    <x v="14"/>
    <x v="0"/>
    <n v="10"/>
    <x v="1"/>
    <x v="1"/>
    <n v="0"/>
    <x v="0"/>
    <n v="20"/>
    <n v="12"/>
    <x v="0"/>
    <n v="18"/>
  </r>
  <r>
    <n v="1026"/>
    <s v="Beatriz Gomes"/>
    <x v="1"/>
    <d v="2025-03-13T00:00:00"/>
    <x v="15"/>
    <x v="1"/>
    <n v="5"/>
    <x v="0"/>
    <x v="1"/>
    <n v="0"/>
    <x v="1"/>
    <n v="0"/>
    <n v="2"/>
    <x v="0"/>
    <n v="3"/>
  </r>
  <r>
    <n v="1027"/>
    <s v="Cesar Oliveira"/>
    <x v="0"/>
    <d v="2025-03-14T00:00:00"/>
    <x v="16"/>
    <x v="0"/>
    <n v="15"/>
    <x v="2"/>
    <x v="0"/>
    <n v="30"/>
    <x v="0"/>
    <n v="20"/>
    <n v="7"/>
    <x v="3"/>
    <n v="58"/>
  </r>
  <r>
    <n v="1028"/>
    <s v="Débora Machado"/>
    <x v="2"/>
    <d v="2025-03-15T00:00:00"/>
    <x v="17"/>
    <x v="1"/>
    <n v="10"/>
    <x v="0"/>
    <x v="1"/>
    <n v="0"/>
    <x v="0"/>
    <n v="20"/>
    <n v="5"/>
    <x v="4"/>
    <n v="25"/>
  </r>
  <r>
    <n v="1029"/>
    <s v="Eduardo Vargas"/>
    <x v="1"/>
    <d v="2025-03-16T00:00:00"/>
    <x v="18"/>
    <x v="0"/>
    <n v="5"/>
    <x v="1"/>
    <x v="1"/>
    <n v="0"/>
    <x v="1"/>
    <n v="0"/>
    <n v="0"/>
    <x v="3"/>
    <n v="5"/>
  </r>
  <r>
    <n v="1030"/>
    <s v="Gabriela Santos"/>
    <x v="0"/>
    <d v="2025-03-17T00:00:00"/>
    <x v="19"/>
    <x v="1"/>
    <n v="15"/>
    <x v="0"/>
    <x v="0"/>
    <n v="30"/>
    <x v="0"/>
    <n v="20"/>
    <n v="3"/>
    <x v="0"/>
    <n v="62"/>
  </r>
  <r>
    <n v="1031"/>
    <s v="Henrique Dias"/>
    <x v="2"/>
    <d v="2025-03-18T00:00:00"/>
    <x v="20"/>
    <x v="0"/>
    <n v="10"/>
    <x v="2"/>
    <x v="1"/>
    <n v="0"/>
    <x v="0"/>
    <n v="20"/>
    <n v="15"/>
    <x v="1"/>
    <n v="15"/>
  </r>
  <r>
    <n v="1032"/>
    <s v="Isabela Moreira"/>
    <x v="1"/>
    <d v="2025-03-19T00:00:00"/>
    <x v="21"/>
    <x v="1"/>
    <n v="5"/>
    <x v="0"/>
    <x v="1"/>
    <n v="0"/>
    <x v="1"/>
    <n v="0"/>
    <n v="1"/>
    <x v="0"/>
    <n v="4"/>
  </r>
  <r>
    <n v="1033"/>
    <s v="Joaquim Barbosa"/>
    <x v="0"/>
    <d v="2025-03-20T00:00:00"/>
    <x v="22"/>
    <x v="0"/>
    <n v="15"/>
    <x v="1"/>
    <x v="0"/>
    <n v="30"/>
    <x v="0"/>
    <n v="20"/>
    <n v="20"/>
    <x v="4"/>
    <n v="45"/>
  </r>
  <r>
    <n v="1034"/>
    <s v="Lara Rocha"/>
    <x v="2"/>
    <d v="2025-03-21T00:00:00"/>
    <x v="23"/>
    <x v="1"/>
    <n v="10"/>
    <x v="0"/>
    <x v="1"/>
    <n v="0"/>
    <x v="0"/>
    <n v="20"/>
    <n v="10"/>
    <x v="1"/>
    <n v="20"/>
  </r>
  <r>
    <n v="1035"/>
    <s v="Matheus Silva"/>
    <x v="1"/>
    <d v="2025-03-22T00:00:00"/>
    <x v="24"/>
    <x v="0"/>
    <n v="5"/>
    <x v="2"/>
    <x v="1"/>
    <n v="0"/>
    <x v="1"/>
    <n v="0"/>
    <n v="0"/>
    <x v="1"/>
    <n v="5"/>
  </r>
  <r>
    <n v="1036"/>
    <s v="Nicole Costa"/>
    <x v="0"/>
    <d v="2025-03-23T00:00:00"/>
    <x v="25"/>
    <x v="1"/>
    <n v="15"/>
    <x v="0"/>
    <x v="0"/>
    <n v="30"/>
    <x v="0"/>
    <n v="20"/>
    <n v="5"/>
    <x v="4"/>
    <n v="60"/>
  </r>
  <r>
    <n v="1037"/>
    <s v="Otávio Mendonça"/>
    <x v="2"/>
    <d v="2025-03-24T00:00:00"/>
    <x v="26"/>
    <x v="0"/>
    <n v="10"/>
    <x v="1"/>
    <x v="1"/>
    <n v="0"/>
    <x v="0"/>
    <n v="20"/>
    <n v="15"/>
    <x v="2"/>
    <n v="15"/>
  </r>
  <r>
    <n v="1038"/>
    <s v="Paula Ferreira"/>
    <x v="1"/>
    <d v="2025-03-25T00:00:00"/>
    <x v="27"/>
    <x v="1"/>
    <n v="5"/>
    <x v="0"/>
    <x v="1"/>
    <n v="0"/>
    <x v="1"/>
    <n v="0"/>
    <n v="1"/>
    <x v="3"/>
    <n v="4"/>
  </r>
  <r>
    <n v="1039"/>
    <s v="Raquel Alves"/>
    <x v="0"/>
    <d v="2025-03-26T00:00:00"/>
    <x v="28"/>
    <x v="0"/>
    <n v="15"/>
    <x v="2"/>
    <x v="0"/>
    <n v="30"/>
    <x v="0"/>
    <n v="20"/>
    <n v="7"/>
    <x v="1"/>
    <n v="58"/>
  </r>
  <r>
    <n v="1040"/>
    <s v="Samuel Pires"/>
    <x v="2"/>
    <d v="2025-03-27T00:00:00"/>
    <x v="29"/>
    <x v="1"/>
    <n v="10"/>
    <x v="0"/>
    <x v="1"/>
    <n v="0"/>
    <x v="0"/>
    <n v="20"/>
    <n v="10"/>
    <x v="4"/>
    <n v="20"/>
  </r>
  <r>
    <n v="1041"/>
    <s v="Tânia Barros"/>
    <x v="1"/>
    <d v="2025-03-28T00:00:00"/>
    <x v="30"/>
    <x v="0"/>
    <n v="5"/>
    <x v="1"/>
    <x v="1"/>
    <n v="0"/>
    <x v="1"/>
    <n v="0"/>
    <n v="0"/>
    <x v="1"/>
    <n v="5"/>
  </r>
  <r>
    <n v="1042"/>
    <s v="Vinicius Lima"/>
    <x v="0"/>
    <d v="2025-03-29T00:00:00"/>
    <x v="31"/>
    <x v="1"/>
    <n v="15"/>
    <x v="0"/>
    <x v="0"/>
    <n v="30"/>
    <x v="0"/>
    <n v="20"/>
    <n v="3"/>
    <x v="1"/>
    <n v="62"/>
  </r>
  <r>
    <n v="1043"/>
    <s v="Yasmin Teixeira"/>
    <x v="2"/>
    <d v="2025-03-30T00:00:00"/>
    <x v="32"/>
    <x v="0"/>
    <n v="10"/>
    <x v="2"/>
    <x v="1"/>
    <n v="0"/>
    <x v="0"/>
    <n v="20"/>
    <n v="15"/>
    <x v="0"/>
    <n v="15"/>
  </r>
  <r>
    <n v="1044"/>
    <s v="Zé Carlos"/>
    <x v="1"/>
    <d v="2025-03-31T00:00:00"/>
    <x v="33"/>
    <x v="1"/>
    <n v="5"/>
    <x v="0"/>
    <x v="1"/>
    <n v="0"/>
    <x v="1"/>
    <n v="0"/>
    <n v="1"/>
    <x v="3"/>
    <n v="4"/>
  </r>
  <r>
    <n v="1045"/>
    <s v="Amanda Nogueira"/>
    <x v="1"/>
    <d v="2025-04-01T00:00:00"/>
    <x v="34"/>
    <x v="0"/>
    <n v="5"/>
    <x v="0"/>
    <x v="1"/>
    <n v="0"/>
    <x v="1"/>
    <n v="0"/>
    <n v="0"/>
    <x v="0"/>
    <n v="5"/>
  </r>
  <r>
    <n v="1046"/>
    <s v="Bruno Cavalheiro"/>
    <x v="0"/>
    <d v="2025-04-02T00:00:00"/>
    <x v="35"/>
    <x v="1"/>
    <n v="15"/>
    <x v="2"/>
    <x v="0"/>
    <n v="30"/>
    <x v="0"/>
    <n v="20"/>
    <n v="7"/>
    <x v="1"/>
    <n v="58"/>
  </r>
  <r>
    <n v="1047"/>
    <s v="Carla Dias"/>
    <x v="2"/>
    <d v="2025-04-03T00:00:00"/>
    <x v="36"/>
    <x v="0"/>
    <n v="10"/>
    <x v="1"/>
    <x v="1"/>
    <n v="0"/>
    <x v="0"/>
    <n v="20"/>
    <n v="10"/>
    <x v="0"/>
    <n v="20"/>
  </r>
  <r>
    <n v="1048"/>
    <s v="Diego Fontes"/>
    <x v="1"/>
    <d v="2025-04-04T00:00:00"/>
    <x v="37"/>
    <x v="1"/>
    <n v="5"/>
    <x v="2"/>
    <x v="1"/>
    <n v="0"/>
    <x v="1"/>
    <n v="0"/>
    <n v="1"/>
    <x v="3"/>
    <n v="4"/>
  </r>
  <r>
    <n v="1049"/>
    <s v="Eunice Lima"/>
    <x v="0"/>
    <d v="2025-04-05T00:00:00"/>
    <x v="38"/>
    <x v="0"/>
    <n v="15"/>
    <x v="0"/>
    <x v="0"/>
    <n v="30"/>
    <x v="0"/>
    <n v="20"/>
    <n v="15"/>
    <x v="4"/>
    <n v="50"/>
  </r>
  <r>
    <n v="1050"/>
    <s v="Fábio Martins"/>
    <x v="2"/>
    <d v="2025-04-06T00:00:00"/>
    <x v="39"/>
    <x v="1"/>
    <n v="10"/>
    <x v="0"/>
    <x v="1"/>
    <n v="0"/>
    <x v="0"/>
    <n v="20"/>
    <n v="5"/>
    <x v="3"/>
    <n v="25"/>
  </r>
  <r>
    <n v="1051"/>
    <s v="Gisele Araújo"/>
    <x v="1"/>
    <d v="2025-04-07T00:00:00"/>
    <x v="40"/>
    <x v="0"/>
    <n v="5"/>
    <x v="1"/>
    <x v="1"/>
    <n v="0"/>
    <x v="1"/>
    <n v="0"/>
    <n v="0"/>
    <x v="4"/>
    <n v="5"/>
  </r>
  <r>
    <n v="1052"/>
    <s v="Hélio Castro"/>
    <x v="0"/>
    <d v="2025-04-08T00:00:00"/>
    <x v="41"/>
    <x v="1"/>
    <n v="15"/>
    <x v="2"/>
    <x v="0"/>
    <n v="30"/>
    <x v="0"/>
    <n v="20"/>
    <n v="20"/>
    <x v="0"/>
    <n v="45"/>
  </r>
  <r>
    <n v="1053"/>
    <s v="Ingrid Menezes"/>
    <x v="2"/>
    <d v="2025-04-09T00:00:00"/>
    <x v="42"/>
    <x v="0"/>
    <n v="10"/>
    <x v="2"/>
    <x v="1"/>
    <n v="0"/>
    <x v="0"/>
    <n v="20"/>
    <n v="12"/>
    <x v="0"/>
    <n v="18"/>
  </r>
  <r>
    <n v="1054"/>
    <s v="Jorge Baptista"/>
    <x v="1"/>
    <d v="2025-04-10T00:00:00"/>
    <x v="43"/>
    <x v="1"/>
    <n v="5"/>
    <x v="0"/>
    <x v="1"/>
    <n v="0"/>
    <x v="1"/>
    <n v="0"/>
    <n v="2"/>
    <x v="1"/>
    <n v="3"/>
  </r>
  <r>
    <n v="1055"/>
    <s v="Kléber Oliveira"/>
    <x v="0"/>
    <d v="2025-04-11T00:00:00"/>
    <x v="44"/>
    <x v="0"/>
    <n v="15"/>
    <x v="1"/>
    <x v="0"/>
    <n v="30"/>
    <x v="0"/>
    <n v="20"/>
    <n v="5"/>
    <x v="2"/>
    <n v="60"/>
  </r>
  <r>
    <n v="1056"/>
    <s v="Luciana Freitas"/>
    <x v="2"/>
    <d v="2025-04-12T00:00:00"/>
    <x v="45"/>
    <x v="1"/>
    <n v="10"/>
    <x v="0"/>
    <x v="1"/>
    <n v="0"/>
    <x v="0"/>
    <n v="20"/>
    <n v="10"/>
    <x v="2"/>
    <n v="20"/>
  </r>
  <r>
    <n v="1057"/>
    <s v="Márcia Eller"/>
    <x v="1"/>
    <d v="2025-04-13T00:00:00"/>
    <x v="46"/>
    <x v="0"/>
    <n v="5"/>
    <x v="2"/>
    <x v="1"/>
    <n v="0"/>
    <x v="1"/>
    <n v="0"/>
    <n v="0"/>
    <x v="1"/>
    <n v="5"/>
  </r>
  <r>
    <n v="1058"/>
    <s v="Nilo Peçanha"/>
    <x v="0"/>
    <d v="2025-04-14T00:00:00"/>
    <x v="47"/>
    <x v="1"/>
    <n v="15"/>
    <x v="0"/>
    <x v="0"/>
    <n v="30"/>
    <x v="0"/>
    <n v="20"/>
    <n v="3"/>
    <x v="4"/>
    <n v="62"/>
  </r>
  <r>
    <n v="1059"/>
    <s v="Oscar Neves"/>
    <x v="2"/>
    <d v="2025-04-15T00:00:00"/>
    <x v="48"/>
    <x v="0"/>
    <n v="10"/>
    <x v="1"/>
    <x v="1"/>
    <n v="0"/>
    <x v="0"/>
    <n v="20"/>
    <n v="15"/>
    <x v="1"/>
    <n v="15"/>
  </r>
  <r>
    <n v="1060"/>
    <s v="Patrícia Soares"/>
    <x v="1"/>
    <d v="2025-04-16T00:00:00"/>
    <x v="49"/>
    <x v="1"/>
    <n v="5"/>
    <x v="0"/>
    <x v="1"/>
    <n v="0"/>
    <x v="1"/>
    <n v="0"/>
    <n v="1"/>
    <x v="2"/>
    <n v="4"/>
  </r>
  <r>
    <n v="1061"/>
    <s v="Quirino Gonçalves"/>
    <x v="0"/>
    <d v="2025-04-17T00:00:00"/>
    <x v="50"/>
    <x v="0"/>
    <n v="15"/>
    <x v="2"/>
    <x v="0"/>
    <n v="30"/>
    <x v="0"/>
    <n v="20"/>
    <n v="7"/>
    <x v="0"/>
    <n v="58"/>
  </r>
  <r>
    <n v="1062"/>
    <s v="Raul Machado"/>
    <x v="2"/>
    <d v="2025-04-18T00:00:00"/>
    <x v="51"/>
    <x v="1"/>
    <n v="10"/>
    <x v="0"/>
    <x v="1"/>
    <n v="0"/>
    <x v="0"/>
    <n v="20"/>
    <n v="10"/>
    <x v="2"/>
    <n v="20"/>
  </r>
  <r>
    <n v="1063"/>
    <s v="Sônia Lobo"/>
    <x v="1"/>
    <d v="2025-04-19T00:00:00"/>
    <x v="52"/>
    <x v="0"/>
    <n v="5"/>
    <x v="1"/>
    <x v="1"/>
    <n v="0"/>
    <x v="1"/>
    <n v="0"/>
    <n v="0"/>
    <x v="4"/>
    <n v="5"/>
  </r>
  <r>
    <n v="1064"/>
    <s v="Tiago Ramos"/>
    <x v="0"/>
    <d v="2025-04-20T00:00:00"/>
    <x v="53"/>
    <x v="1"/>
    <n v="15"/>
    <x v="0"/>
    <x v="0"/>
    <n v="30"/>
    <x v="0"/>
    <n v="20"/>
    <n v="20"/>
    <x v="0"/>
    <n v="45"/>
  </r>
  <r>
    <n v="1065"/>
    <s v="Ugo Pires"/>
    <x v="2"/>
    <d v="2025-04-21T00:00:00"/>
    <x v="54"/>
    <x v="0"/>
    <n v="10"/>
    <x v="2"/>
    <x v="1"/>
    <n v="0"/>
    <x v="0"/>
    <n v="20"/>
    <n v="15"/>
    <x v="3"/>
    <n v="15"/>
  </r>
  <r>
    <n v="1066"/>
    <s v="Valéria Nobre"/>
    <x v="1"/>
    <d v="2025-04-22T00:00:00"/>
    <x v="55"/>
    <x v="1"/>
    <n v="5"/>
    <x v="0"/>
    <x v="1"/>
    <n v="0"/>
    <x v="1"/>
    <n v="0"/>
    <n v="1"/>
    <x v="1"/>
    <n v="4"/>
  </r>
  <r>
    <n v="1067"/>
    <s v="William Siqueira"/>
    <x v="0"/>
    <d v="2025-04-23T00:00:00"/>
    <x v="56"/>
    <x v="0"/>
    <n v="15"/>
    <x v="1"/>
    <x v="0"/>
    <n v="30"/>
    <x v="0"/>
    <n v="20"/>
    <n v="3"/>
    <x v="0"/>
    <n v="62"/>
  </r>
  <r>
    <n v="1068"/>
    <s v="Xuxa Meneghel"/>
    <x v="2"/>
    <d v="2025-04-24T00:00:00"/>
    <x v="57"/>
    <x v="1"/>
    <n v="10"/>
    <x v="0"/>
    <x v="1"/>
    <n v="0"/>
    <x v="0"/>
    <n v="20"/>
    <n v="10"/>
    <x v="4"/>
    <n v="20"/>
  </r>
  <r>
    <n v="1069"/>
    <s v="Yara Figueiredo"/>
    <x v="1"/>
    <d v="2025-04-25T00:00:00"/>
    <x v="58"/>
    <x v="0"/>
    <n v="5"/>
    <x v="2"/>
    <x v="1"/>
    <n v="0"/>
    <x v="1"/>
    <n v="0"/>
    <n v="0"/>
    <x v="3"/>
    <n v="5"/>
  </r>
  <r>
    <n v="1070"/>
    <s v="Zacarias Alves"/>
    <x v="0"/>
    <d v="2025-04-26T00:00:00"/>
    <x v="59"/>
    <x v="1"/>
    <n v="15"/>
    <x v="0"/>
    <x v="0"/>
    <n v="30"/>
    <x v="0"/>
    <n v="20"/>
    <n v="5"/>
    <x v="1"/>
    <n v="60"/>
  </r>
  <r>
    <n v="1071"/>
    <s v="Amanda Bynes"/>
    <x v="2"/>
    <d v="2025-04-27T00:00:00"/>
    <x v="60"/>
    <x v="0"/>
    <n v="10"/>
    <x v="1"/>
    <x v="1"/>
    <n v="0"/>
    <x v="0"/>
    <n v="20"/>
    <n v="15"/>
    <x v="3"/>
    <n v="15"/>
  </r>
  <r>
    <n v="1072"/>
    <s v="Bruno Mars"/>
    <x v="1"/>
    <d v="2025-04-28T00:00:00"/>
    <x v="61"/>
    <x v="1"/>
    <n v="5"/>
    <x v="0"/>
    <x v="1"/>
    <n v="0"/>
    <x v="1"/>
    <n v="0"/>
    <n v="1"/>
    <x v="3"/>
    <n v="4"/>
  </r>
  <r>
    <n v="1073"/>
    <s v="Carla Bruni"/>
    <x v="0"/>
    <d v="2025-04-29T00:00:00"/>
    <x v="62"/>
    <x v="0"/>
    <n v="15"/>
    <x v="2"/>
    <x v="0"/>
    <n v="30"/>
    <x v="0"/>
    <n v="20"/>
    <n v="20"/>
    <x v="1"/>
    <n v="45"/>
  </r>
  <r>
    <n v="1074"/>
    <s v="Diego Maradona"/>
    <x v="2"/>
    <d v="2025-04-30T00:00:00"/>
    <x v="63"/>
    <x v="1"/>
    <n v="10"/>
    <x v="0"/>
    <x v="1"/>
    <n v="0"/>
    <x v="0"/>
    <n v="20"/>
    <n v="5"/>
    <x v="1"/>
    <n v="25"/>
  </r>
  <r>
    <n v="1075"/>
    <s v="Estela Marques"/>
    <x v="1"/>
    <d v="2025-05-01T00:00:00"/>
    <x v="64"/>
    <x v="1"/>
    <n v="5"/>
    <x v="0"/>
    <x v="1"/>
    <n v="0"/>
    <x v="1"/>
    <n v="0"/>
    <n v="0"/>
    <x v="2"/>
    <n v="5"/>
  </r>
  <r>
    <n v="1076"/>
    <s v="Fábio Nobre"/>
    <x v="0"/>
    <d v="2025-05-02T00:00:00"/>
    <x v="65"/>
    <x v="0"/>
    <n v="15"/>
    <x v="2"/>
    <x v="0"/>
    <n v="30"/>
    <x v="0"/>
    <n v="20"/>
    <n v="7"/>
    <x v="1"/>
    <n v="58"/>
  </r>
  <r>
    <n v="1077"/>
    <s v="Gabriel Oliveira"/>
    <x v="2"/>
    <d v="2025-05-03T00:00:00"/>
    <x v="66"/>
    <x v="1"/>
    <n v="10"/>
    <x v="1"/>
    <x v="1"/>
    <n v="0"/>
    <x v="0"/>
    <n v="20"/>
    <n v="10"/>
    <x v="4"/>
    <n v="20"/>
  </r>
  <r>
    <n v="1078"/>
    <s v="Helena Santos"/>
    <x v="1"/>
    <d v="2025-05-04T00:00:00"/>
    <x v="67"/>
    <x v="0"/>
    <n v="5"/>
    <x v="2"/>
    <x v="1"/>
    <n v="0"/>
    <x v="1"/>
    <n v="0"/>
    <n v="1"/>
    <x v="1"/>
    <n v="4"/>
  </r>
  <r>
    <n v="1079"/>
    <s v="Ivan Carvalho"/>
    <x v="0"/>
    <d v="2025-05-05T00:00:00"/>
    <x v="68"/>
    <x v="1"/>
    <n v="15"/>
    <x v="0"/>
    <x v="0"/>
    <n v="30"/>
    <x v="0"/>
    <n v="20"/>
    <n v="15"/>
    <x v="2"/>
    <n v="50"/>
  </r>
  <r>
    <n v="1080"/>
    <s v="Júlia Ferreira"/>
    <x v="2"/>
    <d v="2025-05-06T00:00:00"/>
    <x v="69"/>
    <x v="0"/>
    <n v="10"/>
    <x v="0"/>
    <x v="1"/>
    <n v="0"/>
    <x v="0"/>
    <n v="20"/>
    <n v="5"/>
    <x v="1"/>
    <n v="25"/>
  </r>
  <r>
    <n v="1081"/>
    <s v="Karla Alves"/>
    <x v="1"/>
    <d v="2025-05-07T00:00:00"/>
    <x v="70"/>
    <x v="1"/>
    <n v="5"/>
    <x v="1"/>
    <x v="1"/>
    <n v="0"/>
    <x v="1"/>
    <n v="0"/>
    <n v="0"/>
    <x v="2"/>
    <n v="5"/>
  </r>
  <r>
    <n v="1082"/>
    <s v="Lucas Mendes"/>
    <x v="0"/>
    <d v="2025-05-08T00:00:00"/>
    <x v="71"/>
    <x v="0"/>
    <n v="15"/>
    <x v="2"/>
    <x v="0"/>
    <n v="30"/>
    <x v="0"/>
    <n v="20"/>
    <n v="20"/>
    <x v="2"/>
    <n v="45"/>
  </r>
  <r>
    <n v="1083"/>
    <s v="Mônica Gomes"/>
    <x v="2"/>
    <d v="2025-05-09T00:00:00"/>
    <x v="72"/>
    <x v="1"/>
    <n v="10"/>
    <x v="2"/>
    <x v="1"/>
    <n v="0"/>
    <x v="0"/>
    <n v="20"/>
    <n v="12"/>
    <x v="1"/>
    <n v="18"/>
  </r>
  <r>
    <n v="1084"/>
    <s v="Norberto Queiroz"/>
    <x v="1"/>
    <d v="2025-05-10T00:00:00"/>
    <x v="73"/>
    <x v="0"/>
    <n v="5"/>
    <x v="0"/>
    <x v="1"/>
    <n v="0"/>
    <x v="1"/>
    <n v="0"/>
    <n v="2"/>
    <x v="2"/>
    <n v="3"/>
  </r>
  <r>
    <n v="1085"/>
    <s v="Otávio Barros"/>
    <x v="0"/>
    <d v="2025-05-11T00:00:00"/>
    <x v="74"/>
    <x v="1"/>
    <n v="15"/>
    <x v="1"/>
    <x v="0"/>
    <n v="30"/>
    <x v="0"/>
    <n v="20"/>
    <n v="5"/>
    <x v="4"/>
    <n v="60"/>
  </r>
  <r>
    <n v="1086"/>
    <s v="Paula Vieira"/>
    <x v="2"/>
    <d v="2025-05-12T00:00:00"/>
    <x v="75"/>
    <x v="0"/>
    <n v="10"/>
    <x v="0"/>
    <x v="1"/>
    <n v="0"/>
    <x v="0"/>
    <n v="20"/>
    <n v="10"/>
    <x v="3"/>
    <n v="20"/>
  </r>
  <r>
    <n v="1087"/>
    <s v="Quentin Ramos"/>
    <x v="1"/>
    <d v="2025-05-13T00:00:00"/>
    <x v="76"/>
    <x v="1"/>
    <n v="5"/>
    <x v="2"/>
    <x v="1"/>
    <n v="0"/>
    <x v="1"/>
    <n v="0"/>
    <n v="0"/>
    <x v="4"/>
    <n v="5"/>
  </r>
  <r>
    <n v="1088"/>
    <s v="Raquel Novaes"/>
    <x v="0"/>
    <d v="2025-05-14T00:00:00"/>
    <x v="77"/>
    <x v="0"/>
    <n v="15"/>
    <x v="0"/>
    <x v="0"/>
    <n v="30"/>
    <x v="0"/>
    <n v="20"/>
    <n v="3"/>
    <x v="4"/>
    <n v="62"/>
  </r>
  <r>
    <n v="1089"/>
    <s v="Samantha Lopes"/>
    <x v="2"/>
    <d v="2025-05-15T00:00:00"/>
    <x v="78"/>
    <x v="1"/>
    <n v="10"/>
    <x v="1"/>
    <x v="1"/>
    <n v="0"/>
    <x v="0"/>
    <n v="20"/>
    <n v="15"/>
    <x v="4"/>
    <n v="15"/>
  </r>
  <r>
    <n v="1090"/>
    <s v="Tiago Martins"/>
    <x v="1"/>
    <d v="2025-05-16T00:00:00"/>
    <x v="79"/>
    <x v="0"/>
    <n v="5"/>
    <x v="0"/>
    <x v="1"/>
    <n v="0"/>
    <x v="1"/>
    <n v="0"/>
    <n v="1"/>
    <x v="1"/>
    <n v="4"/>
  </r>
  <r>
    <n v="1091"/>
    <s v="Ulysses Guimarães"/>
    <x v="0"/>
    <d v="2025-05-17T00:00:00"/>
    <x v="80"/>
    <x v="1"/>
    <n v="15"/>
    <x v="2"/>
    <x v="0"/>
    <n v="30"/>
    <x v="0"/>
    <n v="20"/>
    <n v="7"/>
    <x v="2"/>
    <n v="58"/>
  </r>
  <r>
    <n v="1092"/>
    <s v="Vanessa Silva"/>
    <x v="2"/>
    <d v="2025-05-18T00:00:00"/>
    <x v="81"/>
    <x v="0"/>
    <n v="10"/>
    <x v="0"/>
    <x v="1"/>
    <n v="0"/>
    <x v="0"/>
    <n v="20"/>
    <n v="10"/>
    <x v="3"/>
    <n v="20"/>
  </r>
  <r>
    <n v="1093"/>
    <s v="William Carneiro"/>
    <x v="1"/>
    <d v="2025-05-19T00:00:00"/>
    <x v="82"/>
    <x v="1"/>
    <n v="5"/>
    <x v="1"/>
    <x v="1"/>
    <n v="0"/>
    <x v="1"/>
    <n v="0"/>
    <n v="0"/>
    <x v="4"/>
    <n v="5"/>
  </r>
  <r>
    <n v="1094"/>
    <s v="Ximena Rocha"/>
    <x v="0"/>
    <d v="2025-05-20T00:00:00"/>
    <x v="83"/>
    <x v="0"/>
    <n v="15"/>
    <x v="0"/>
    <x v="0"/>
    <n v="30"/>
    <x v="0"/>
    <n v="20"/>
    <n v="20"/>
    <x v="4"/>
    <n v="45"/>
  </r>
  <r>
    <n v="1095"/>
    <s v="Yasmin Figueiredo"/>
    <x v="2"/>
    <d v="2025-05-21T00:00:00"/>
    <x v="84"/>
    <x v="1"/>
    <n v="10"/>
    <x v="2"/>
    <x v="1"/>
    <n v="0"/>
    <x v="0"/>
    <n v="20"/>
    <n v="15"/>
    <x v="0"/>
    <n v="15"/>
  </r>
  <r>
    <n v="1096"/>
    <s v="Zara Cunha"/>
    <x v="1"/>
    <d v="2025-05-22T00:00:00"/>
    <x v="85"/>
    <x v="0"/>
    <n v="5"/>
    <x v="0"/>
    <x v="1"/>
    <n v="0"/>
    <x v="1"/>
    <n v="0"/>
    <n v="1"/>
    <x v="3"/>
    <n v="4"/>
  </r>
  <r>
    <n v="1097"/>
    <s v="Alan Teixeira"/>
    <x v="0"/>
    <d v="2025-05-23T00:00:00"/>
    <x v="86"/>
    <x v="1"/>
    <n v="15"/>
    <x v="1"/>
    <x v="0"/>
    <n v="30"/>
    <x v="0"/>
    <n v="20"/>
    <n v="3"/>
    <x v="1"/>
    <n v="62"/>
  </r>
  <r>
    <n v="1098"/>
    <s v="Bárbara Oliveira"/>
    <x v="2"/>
    <d v="2025-05-24T00:00:00"/>
    <x v="87"/>
    <x v="0"/>
    <n v="10"/>
    <x v="0"/>
    <x v="1"/>
    <n v="0"/>
    <x v="0"/>
    <n v="20"/>
    <n v="10"/>
    <x v="0"/>
    <n v="20"/>
  </r>
  <r>
    <n v="1099"/>
    <s v="Carlos Junqueira"/>
    <x v="1"/>
    <d v="2025-05-25T00:00:00"/>
    <x v="88"/>
    <x v="1"/>
    <n v="5"/>
    <x v="2"/>
    <x v="1"/>
    <n v="0"/>
    <x v="1"/>
    <n v="0"/>
    <n v="0"/>
    <x v="0"/>
    <n v="5"/>
  </r>
  <r>
    <n v="1100"/>
    <s v="Daniela Moura"/>
    <x v="0"/>
    <d v="2025-05-26T00:00:00"/>
    <x v="89"/>
    <x v="0"/>
    <n v="15"/>
    <x v="0"/>
    <x v="0"/>
    <n v="30"/>
    <x v="0"/>
    <n v="20"/>
    <n v="5"/>
    <x v="3"/>
    <n v="60"/>
  </r>
  <r>
    <n v="1101"/>
    <s v="Eduardo Lima"/>
    <x v="2"/>
    <d v="2025-05-27T00:00:00"/>
    <x v="90"/>
    <x v="1"/>
    <n v="10"/>
    <x v="1"/>
    <x v="1"/>
    <n v="0"/>
    <x v="0"/>
    <n v="20"/>
    <n v="15"/>
    <x v="4"/>
    <n v="15"/>
  </r>
  <r>
    <n v="1102"/>
    <s v="Fabiana Araújo"/>
    <x v="1"/>
    <d v="2025-05-28T00:00:00"/>
    <x v="91"/>
    <x v="0"/>
    <n v="5"/>
    <x v="0"/>
    <x v="1"/>
    <n v="0"/>
    <x v="1"/>
    <n v="0"/>
    <n v="1"/>
    <x v="3"/>
    <n v="4"/>
  </r>
  <r>
    <n v="1103"/>
    <s v="Geraldo Ribeiro"/>
    <x v="0"/>
    <d v="2025-05-29T00:00:00"/>
    <x v="92"/>
    <x v="1"/>
    <n v="15"/>
    <x v="2"/>
    <x v="0"/>
    <n v="30"/>
    <x v="0"/>
    <n v="20"/>
    <n v="20"/>
    <x v="4"/>
    <n v="45"/>
  </r>
  <r>
    <n v="1104"/>
    <s v="Héctor Vargas"/>
    <x v="2"/>
    <d v="2025-05-30T00:00:00"/>
    <x v="93"/>
    <x v="0"/>
    <n v="10"/>
    <x v="2"/>
    <x v="1"/>
    <n v="0"/>
    <x v="0"/>
    <n v="20"/>
    <n v="15"/>
    <x v="2"/>
    <n v="15"/>
  </r>
  <r>
    <n v="1105"/>
    <s v="Isabela Fonseca"/>
    <x v="1"/>
    <d v="2025-05-31T00:00:00"/>
    <x v="94"/>
    <x v="1"/>
    <n v="5"/>
    <x v="1"/>
    <x v="1"/>
    <n v="0"/>
    <x v="1"/>
    <n v="0"/>
    <n v="0"/>
    <x v="1"/>
    <n v="5"/>
  </r>
  <r>
    <n v="1106"/>
    <s v="João Pedro Almeida"/>
    <x v="0"/>
    <d v="2025-06-01T00:00:00"/>
    <x v="95"/>
    <x v="0"/>
    <n v="15"/>
    <x v="0"/>
    <x v="0"/>
    <n v="30"/>
    <x v="0"/>
    <n v="20"/>
    <n v="7"/>
    <x v="3"/>
    <n v="58"/>
  </r>
  <r>
    <n v="1107"/>
    <s v="Klara Costa"/>
    <x v="2"/>
    <d v="2025-06-02T00:00:00"/>
    <x v="96"/>
    <x v="1"/>
    <n v="10"/>
    <x v="1"/>
    <x v="1"/>
    <n v="0"/>
    <x v="0"/>
    <n v="20"/>
    <n v="10"/>
    <x v="0"/>
    <n v="20"/>
  </r>
  <r>
    <n v="1108"/>
    <s v="Luciana Mendes"/>
    <x v="1"/>
    <d v="2025-06-03T00:00:00"/>
    <x v="97"/>
    <x v="0"/>
    <n v="5"/>
    <x v="2"/>
    <x v="1"/>
    <n v="0"/>
    <x v="1"/>
    <n v="0"/>
    <n v="1"/>
    <x v="4"/>
    <n v="4"/>
  </r>
  <r>
    <n v="1109"/>
    <s v="Marcelo Gouveia"/>
    <x v="0"/>
    <d v="2025-06-04T00:00:00"/>
    <x v="98"/>
    <x v="1"/>
    <n v="15"/>
    <x v="0"/>
    <x v="0"/>
    <n v="30"/>
    <x v="0"/>
    <n v="20"/>
    <n v="15"/>
    <x v="4"/>
    <n v="50"/>
  </r>
  <r>
    <n v="1110"/>
    <s v="Nívea Borges"/>
    <x v="2"/>
    <d v="2025-06-05T00:00:00"/>
    <x v="99"/>
    <x v="0"/>
    <n v="10"/>
    <x v="0"/>
    <x v="1"/>
    <n v="0"/>
    <x v="0"/>
    <n v="20"/>
    <n v="5"/>
    <x v="4"/>
    <n v="25"/>
  </r>
  <r>
    <n v="1111"/>
    <s v="Oscar Nogueira"/>
    <x v="1"/>
    <d v="2025-06-06T00:00:00"/>
    <x v="100"/>
    <x v="1"/>
    <n v="5"/>
    <x v="1"/>
    <x v="1"/>
    <n v="0"/>
    <x v="1"/>
    <n v="0"/>
    <n v="0"/>
    <x v="2"/>
    <n v="5"/>
  </r>
  <r>
    <n v="1112"/>
    <s v="Patrícia Alves"/>
    <x v="0"/>
    <d v="2025-06-07T00:00:00"/>
    <x v="101"/>
    <x v="0"/>
    <n v="15"/>
    <x v="2"/>
    <x v="0"/>
    <n v="30"/>
    <x v="0"/>
    <n v="20"/>
    <n v="20"/>
    <x v="2"/>
    <n v="45"/>
  </r>
  <r>
    <n v="1113"/>
    <s v="Rafaela Silva"/>
    <x v="2"/>
    <d v="2025-06-08T00:00:00"/>
    <x v="102"/>
    <x v="1"/>
    <n v="10"/>
    <x v="2"/>
    <x v="1"/>
    <n v="0"/>
    <x v="0"/>
    <n v="20"/>
    <n v="12"/>
    <x v="2"/>
    <n v="18"/>
  </r>
  <r>
    <n v="1114"/>
    <s v="Samantha Moraes"/>
    <x v="1"/>
    <d v="2025-06-09T00:00:00"/>
    <x v="103"/>
    <x v="0"/>
    <n v="5"/>
    <x v="0"/>
    <x v="1"/>
    <n v="0"/>
    <x v="1"/>
    <n v="0"/>
    <n v="2"/>
    <x v="3"/>
    <n v="3"/>
  </r>
  <r>
    <n v="1115"/>
    <s v="Tatiana Rocha"/>
    <x v="1"/>
    <d v="2025-06-10T00:00:00"/>
    <x v="104"/>
    <x v="0"/>
    <n v="5"/>
    <x v="0"/>
    <x v="1"/>
    <n v="0"/>
    <x v="1"/>
    <n v="0"/>
    <n v="0"/>
    <x v="4"/>
    <n v="5"/>
  </r>
  <r>
    <n v="1116"/>
    <s v="Ulisses Tavares"/>
    <x v="0"/>
    <d v="2025-06-11T00:00:00"/>
    <x v="105"/>
    <x v="1"/>
    <n v="15"/>
    <x v="2"/>
    <x v="0"/>
    <n v="30"/>
    <x v="0"/>
    <n v="20"/>
    <n v="7"/>
    <x v="2"/>
    <n v="58"/>
  </r>
  <r>
    <n v="1117"/>
    <s v="Víctor Lemos"/>
    <x v="2"/>
    <d v="2025-06-12T00:00:00"/>
    <x v="106"/>
    <x v="0"/>
    <n v="10"/>
    <x v="1"/>
    <x v="1"/>
    <n v="0"/>
    <x v="0"/>
    <n v="20"/>
    <n v="10"/>
    <x v="2"/>
    <n v="20"/>
  </r>
  <r>
    <n v="1118"/>
    <s v="Wilma Barros"/>
    <x v="1"/>
    <d v="2025-06-13T00:00:00"/>
    <x v="107"/>
    <x v="1"/>
    <n v="5"/>
    <x v="2"/>
    <x v="1"/>
    <n v="0"/>
    <x v="1"/>
    <n v="0"/>
    <n v="1"/>
    <x v="3"/>
    <n v="4"/>
  </r>
  <r>
    <n v="1119"/>
    <s v="Xavier Nascimento"/>
    <x v="0"/>
    <d v="2025-06-14T00:00:00"/>
    <x v="108"/>
    <x v="0"/>
    <n v="15"/>
    <x v="0"/>
    <x v="0"/>
    <n v="30"/>
    <x v="0"/>
    <n v="20"/>
    <n v="15"/>
    <x v="2"/>
    <n v="50"/>
  </r>
  <r>
    <n v="1120"/>
    <s v="Yago Pereira"/>
    <x v="2"/>
    <d v="2025-06-15T00:00:00"/>
    <x v="109"/>
    <x v="1"/>
    <n v="10"/>
    <x v="0"/>
    <x v="1"/>
    <n v="0"/>
    <x v="0"/>
    <n v="20"/>
    <n v="5"/>
    <x v="0"/>
    <n v="25"/>
  </r>
  <r>
    <n v="1121"/>
    <s v="Zilda Ferreira"/>
    <x v="1"/>
    <d v="2025-06-16T00:00:00"/>
    <x v="110"/>
    <x v="0"/>
    <n v="5"/>
    <x v="1"/>
    <x v="1"/>
    <n v="0"/>
    <x v="1"/>
    <n v="0"/>
    <n v="0"/>
    <x v="1"/>
    <n v="5"/>
  </r>
  <r>
    <n v="1122"/>
    <s v="Amanda Lopes"/>
    <x v="0"/>
    <d v="2025-06-17T00:00:00"/>
    <x v="111"/>
    <x v="1"/>
    <n v="15"/>
    <x v="2"/>
    <x v="0"/>
    <n v="30"/>
    <x v="0"/>
    <n v="20"/>
    <n v="20"/>
    <x v="4"/>
    <n v="45"/>
  </r>
  <r>
    <n v="1123"/>
    <s v="Bruno Miranda"/>
    <x v="2"/>
    <d v="2025-06-18T00:00:00"/>
    <x v="112"/>
    <x v="0"/>
    <n v="10"/>
    <x v="2"/>
    <x v="1"/>
    <n v="0"/>
    <x v="0"/>
    <n v="20"/>
    <n v="12"/>
    <x v="2"/>
    <n v="18"/>
  </r>
  <r>
    <n v="1124"/>
    <s v="Célia Torres"/>
    <x v="1"/>
    <d v="2025-06-19T00:00:00"/>
    <x v="113"/>
    <x v="1"/>
    <n v="5"/>
    <x v="0"/>
    <x v="1"/>
    <n v="0"/>
    <x v="1"/>
    <n v="0"/>
    <n v="2"/>
    <x v="2"/>
    <n v="3"/>
  </r>
  <r>
    <n v="1125"/>
    <s v="Diogo Souza"/>
    <x v="0"/>
    <d v="2025-06-20T00:00:00"/>
    <x v="114"/>
    <x v="0"/>
    <n v="15"/>
    <x v="1"/>
    <x v="0"/>
    <n v="30"/>
    <x v="0"/>
    <n v="20"/>
    <n v="5"/>
    <x v="2"/>
    <n v="60"/>
  </r>
  <r>
    <n v="1126"/>
    <s v="Elisa Castro"/>
    <x v="2"/>
    <d v="2025-06-21T00:00:00"/>
    <x v="115"/>
    <x v="1"/>
    <n v="10"/>
    <x v="0"/>
    <x v="1"/>
    <n v="0"/>
    <x v="0"/>
    <n v="20"/>
    <n v="10"/>
    <x v="4"/>
    <n v="20"/>
  </r>
  <r>
    <n v="1127"/>
    <s v="Fátima Lima"/>
    <x v="1"/>
    <d v="2025-06-22T00:00:00"/>
    <x v="116"/>
    <x v="0"/>
    <n v="5"/>
    <x v="2"/>
    <x v="1"/>
    <n v="0"/>
    <x v="1"/>
    <n v="0"/>
    <n v="0"/>
    <x v="3"/>
    <n v="5"/>
  </r>
  <r>
    <n v="1128"/>
    <s v="Geraldo Ribeiro"/>
    <x v="0"/>
    <d v="2025-06-23T00:00:00"/>
    <x v="117"/>
    <x v="1"/>
    <n v="15"/>
    <x v="0"/>
    <x v="0"/>
    <n v="30"/>
    <x v="0"/>
    <n v="20"/>
    <n v="3"/>
    <x v="4"/>
    <n v="62"/>
  </r>
  <r>
    <n v="1129"/>
    <s v="Hélio Martins"/>
    <x v="2"/>
    <d v="2025-06-24T00:00:00"/>
    <x v="118"/>
    <x v="0"/>
    <n v="10"/>
    <x v="1"/>
    <x v="1"/>
    <n v="0"/>
    <x v="0"/>
    <n v="20"/>
    <n v="15"/>
    <x v="3"/>
    <n v="15"/>
  </r>
  <r>
    <n v="1130"/>
    <s v="Íris Santos"/>
    <x v="1"/>
    <d v="2025-06-25T00:00:00"/>
    <x v="119"/>
    <x v="1"/>
    <n v="5"/>
    <x v="0"/>
    <x v="1"/>
    <n v="0"/>
    <x v="1"/>
    <n v="0"/>
    <n v="1"/>
    <x v="1"/>
    <n v="4"/>
  </r>
  <r>
    <n v="1131"/>
    <s v="João Marcelo"/>
    <x v="0"/>
    <d v="2025-06-26T00:00:00"/>
    <x v="120"/>
    <x v="0"/>
    <n v="15"/>
    <x v="2"/>
    <x v="0"/>
    <n v="30"/>
    <x v="0"/>
    <n v="20"/>
    <n v="7"/>
    <x v="2"/>
    <n v="58"/>
  </r>
  <r>
    <n v="1132"/>
    <s v="Larissa Gomes"/>
    <x v="2"/>
    <d v="2025-06-27T00:00:00"/>
    <x v="121"/>
    <x v="1"/>
    <n v="10"/>
    <x v="0"/>
    <x v="1"/>
    <n v="0"/>
    <x v="0"/>
    <n v="20"/>
    <n v="10"/>
    <x v="1"/>
    <n v="20"/>
  </r>
  <r>
    <n v="1133"/>
    <s v="Márcio Silva"/>
    <x v="1"/>
    <d v="2025-06-28T00:00:00"/>
    <x v="122"/>
    <x v="0"/>
    <n v="5"/>
    <x v="1"/>
    <x v="1"/>
    <n v="0"/>
    <x v="1"/>
    <n v="0"/>
    <n v="0"/>
    <x v="4"/>
    <n v="5"/>
  </r>
  <r>
    <n v="1134"/>
    <s v="Nadia Costa"/>
    <x v="0"/>
    <d v="2025-06-29T00:00:00"/>
    <x v="123"/>
    <x v="1"/>
    <n v="15"/>
    <x v="0"/>
    <x v="0"/>
    <n v="30"/>
    <x v="0"/>
    <n v="20"/>
    <n v="20"/>
    <x v="2"/>
    <n v="45"/>
  </r>
  <r>
    <n v="1135"/>
    <s v="Oscar Almeida"/>
    <x v="2"/>
    <d v="2025-06-30T00:00:00"/>
    <x v="124"/>
    <x v="0"/>
    <n v="10"/>
    <x v="2"/>
    <x v="1"/>
    <n v="0"/>
    <x v="0"/>
    <n v="20"/>
    <n v="15"/>
    <x v="0"/>
    <n v="15"/>
  </r>
  <r>
    <n v="1136"/>
    <s v="Patricia Soares"/>
    <x v="1"/>
    <d v="2025-07-01T00:00:00"/>
    <x v="125"/>
    <x v="1"/>
    <n v="5"/>
    <x v="0"/>
    <x v="1"/>
    <n v="0"/>
    <x v="1"/>
    <n v="0"/>
    <n v="1"/>
    <x v="4"/>
    <n v="4"/>
  </r>
  <r>
    <n v="1137"/>
    <s v="Quênia Barros"/>
    <x v="0"/>
    <d v="2025-07-02T00:00:00"/>
    <x v="126"/>
    <x v="0"/>
    <n v="15"/>
    <x v="1"/>
    <x v="0"/>
    <n v="30"/>
    <x v="0"/>
    <n v="20"/>
    <n v="3"/>
    <x v="3"/>
    <n v="62"/>
  </r>
  <r>
    <n v="1138"/>
    <s v="Rafael Torres"/>
    <x v="2"/>
    <d v="2025-07-03T00:00:00"/>
    <x v="127"/>
    <x v="1"/>
    <n v="10"/>
    <x v="0"/>
    <x v="1"/>
    <n v="0"/>
    <x v="0"/>
    <n v="20"/>
    <n v="10"/>
    <x v="4"/>
    <n v="20"/>
  </r>
  <r>
    <n v="1139"/>
    <s v="Silvia Nascimento"/>
    <x v="1"/>
    <d v="2025-07-04T00:00:00"/>
    <x v="128"/>
    <x v="0"/>
    <n v="5"/>
    <x v="2"/>
    <x v="1"/>
    <n v="0"/>
    <x v="1"/>
    <n v="0"/>
    <n v="0"/>
    <x v="0"/>
    <n v="5"/>
  </r>
  <r>
    <n v="1140"/>
    <s v="Tiago Mendes"/>
    <x v="0"/>
    <d v="2025-07-05T00:00:00"/>
    <x v="129"/>
    <x v="1"/>
    <n v="15"/>
    <x v="0"/>
    <x v="0"/>
    <n v="30"/>
    <x v="0"/>
    <n v="20"/>
    <n v="15"/>
    <x v="4"/>
    <n v="50"/>
  </r>
  <r>
    <n v="1141"/>
    <s v="Ursula Silva"/>
    <x v="2"/>
    <d v="2025-07-06T00:00:00"/>
    <x v="130"/>
    <x v="0"/>
    <n v="10"/>
    <x v="1"/>
    <x v="1"/>
    <n v="0"/>
    <x v="0"/>
    <n v="20"/>
    <n v="15"/>
    <x v="4"/>
    <n v="15"/>
  </r>
  <r>
    <n v="1142"/>
    <s v="Vanessa Moraes"/>
    <x v="1"/>
    <d v="2025-07-07T00:00:00"/>
    <x v="131"/>
    <x v="1"/>
    <n v="5"/>
    <x v="0"/>
    <x v="1"/>
    <n v="0"/>
    <x v="1"/>
    <n v="0"/>
    <n v="1"/>
    <x v="0"/>
    <n v="4"/>
  </r>
  <r>
    <n v="1143"/>
    <s v="Waldir Junior"/>
    <x v="0"/>
    <d v="2025-07-08T00:00:00"/>
    <x v="132"/>
    <x v="0"/>
    <n v="15"/>
    <x v="2"/>
    <x v="0"/>
    <n v="30"/>
    <x v="0"/>
    <n v="20"/>
    <n v="7"/>
    <x v="4"/>
    <n v="58"/>
  </r>
  <r>
    <n v="1144"/>
    <s v="Xavier Lopes"/>
    <x v="2"/>
    <d v="2025-07-09T00:00:00"/>
    <x v="133"/>
    <x v="1"/>
    <n v="10"/>
    <x v="0"/>
    <x v="1"/>
    <n v="0"/>
    <x v="0"/>
    <n v="20"/>
    <n v="10"/>
    <x v="2"/>
    <n v="20"/>
  </r>
  <r>
    <n v="1145"/>
    <s v="Yolanda Freitas"/>
    <x v="1"/>
    <d v="2025-07-10T00:00:00"/>
    <x v="134"/>
    <x v="0"/>
    <n v="5"/>
    <x v="0"/>
    <x v="1"/>
    <n v="0"/>
    <x v="1"/>
    <n v="0"/>
    <n v="0"/>
    <x v="1"/>
    <n v="5"/>
  </r>
  <r>
    <n v="1146"/>
    <s v="Zacarias Nunes"/>
    <x v="0"/>
    <d v="2025-07-11T00:00:00"/>
    <x v="135"/>
    <x v="1"/>
    <n v="15"/>
    <x v="2"/>
    <x v="0"/>
    <n v="30"/>
    <x v="0"/>
    <n v="20"/>
    <n v="7"/>
    <x v="2"/>
    <n v="58"/>
  </r>
  <r>
    <n v="1147"/>
    <s v="Ana Clara Barreto"/>
    <x v="2"/>
    <d v="2025-07-12T00:00:00"/>
    <x v="136"/>
    <x v="0"/>
    <n v="10"/>
    <x v="1"/>
    <x v="1"/>
    <n v="0"/>
    <x v="0"/>
    <n v="20"/>
    <n v="10"/>
    <x v="2"/>
    <n v="20"/>
  </r>
  <r>
    <n v="1148"/>
    <s v="Bruno Henrique"/>
    <x v="1"/>
    <d v="2025-07-13T00:00:00"/>
    <x v="137"/>
    <x v="1"/>
    <n v="5"/>
    <x v="2"/>
    <x v="1"/>
    <n v="0"/>
    <x v="1"/>
    <n v="0"/>
    <n v="1"/>
    <x v="4"/>
    <n v="4"/>
  </r>
  <r>
    <n v="1149"/>
    <s v="Carlos Eduardo"/>
    <x v="0"/>
    <d v="2025-07-14T00:00:00"/>
    <x v="138"/>
    <x v="0"/>
    <n v="15"/>
    <x v="0"/>
    <x v="0"/>
    <n v="30"/>
    <x v="0"/>
    <n v="20"/>
    <n v="15"/>
    <x v="1"/>
    <n v="50"/>
  </r>
  <r>
    <n v="1150"/>
    <s v="Débora Lima"/>
    <x v="2"/>
    <d v="2025-07-15T00:00:00"/>
    <x v="139"/>
    <x v="1"/>
    <n v="10"/>
    <x v="0"/>
    <x v="1"/>
    <n v="0"/>
    <x v="0"/>
    <n v="20"/>
    <n v="5"/>
    <x v="2"/>
    <n v="25"/>
  </r>
  <r>
    <n v="1151"/>
    <s v="Elisa Neves"/>
    <x v="1"/>
    <d v="2025-07-16T00:00:00"/>
    <x v="140"/>
    <x v="0"/>
    <n v="5"/>
    <x v="1"/>
    <x v="1"/>
    <n v="0"/>
    <x v="1"/>
    <n v="0"/>
    <n v="0"/>
    <x v="4"/>
    <n v="5"/>
  </r>
  <r>
    <n v="1152"/>
    <s v="Fabiano Gomes"/>
    <x v="0"/>
    <d v="2025-07-17T00:00:00"/>
    <x v="141"/>
    <x v="1"/>
    <n v="15"/>
    <x v="2"/>
    <x v="0"/>
    <n v="30"/>
    <x v="0"/>
    <n v="20"/>
    <n v="20"/>
    <x v="0"/>
    <n v="45"/>
  </r>
  <r>
    <n v="1153"/>
    <s v="Gisele Oliveira"/>
    <x v="2"/>
    <d v="2025-07-18T00:00:00"/>
    <x v="142"/>
    <x v="0"/>
    <n v="10"/>
    <x v="2"/>
    <x v="1"/>
    <n v="0"/>
    <x v="0"/>
    <n v="20"/>
    <n v="12"/>
    <x v="4"/>
    <n v="18"/>
  </r>
  <r>
    <n v="1154"/>
    <s v="Héctor Silva"/>
    <x v="1"/>
    <d v="2025-07-19T00:00:00"/>
    <x v="143"/>
    <x v="1"/>
    <n v="5"/>
    <x v="0"/>
    <x v="1"/>
    <n v="0"/>
    <x v="1"/>
    <n v="0"/>
    <n v="2"/>
    <x v="4"/>
    <n v="3"/>
  </r>
  <r>
    <n v="1155"/>
    <s v="Igor Martins"/>
    <x v="0"/>
    <d v="2025-07-20T00:00:00"/>
    <x v="144"/>
    <x v="0"/>
    <n v="15"/>
    <x v="1"/>
    <x v="0"/>
    <n v="30"/>
    <x v="0"/>
    <n v="20"/>
    <n v="5"/>
    <x v="1"/>
    <n v="60"/>
  </r>
  <r>
    <n v="1156"/>
    <s v="Joana Figueiredo"/>
    <x v="2"/>
    <d v="2025-07-21T00:00:00"/>
    <x v="145"/>
    <x v="1"/>
    <n v="10"/>
    <x v="0"/>
    <x v="1"/>
    <n v="0"/>
    <x v="0"/>
    <n v="20"/>
    <n v="10"/>
    <x v="0"/>
    <n v="20"/>
  </r>
  <r>
    <n v="1157"/>
    <s v="Kleber Machado"/>
    <x v="1"/>
    <d v="2025-07-22T00:00:00"/>
    <x v="146"/>
    <x v="0"/>
    <n v="5"/>
    <x v="2"/>
    <x v="1"/>
    <n v="0"/>
    <x v="1"/>
    <n v="0"/>
    <n v="0"/>
    <x v="2"/>
    <n v="5"/>
  </r>
  <r>
    <n v="1158"/>
    <s v="Luciana Santos"/>
    <x v="0"/>
    <d v="2025-07-23T00:00:00"/>
    <x v="147"/>
    <x v="1"/>
    <n v="15"/>
    <x v="0"/>
    <x v="0"/>
    <n v="30"/>
    <x v="0"/>
    <n v="20"/>
    <n v="3"/>
    <x v="0"/>
    <n v="62"/>
  </r>
  <r>
    <n v="1159"/>
    <s v="Marcos Teixeira"/>
    <x v="2"/>
    <d v="2025-07-24T00:00:00"/>
    <x v="148"/>
    <x v="0"/>
    <n v="10"/>
    <x v="1"/>
    <x v="1"/>
    <n v="0"/>
    <x v="0"/>
    <n v="20"/>
    <n v="15"/>
    <x v="4"/>
    <n v="15"/>
  </r>
  <r>
    <n v="1160"/>
    <s v="Natalia Costa"/>
    <x v="1"/>
    <d v="2025-07-25T00:00:00"/>
    <x v="149"/>
    <x v="1"/>
    <n v="5"/>
    <x v="0"/>
    <x v="1"/>
    <n v="0"/>
    <x v="1"/>
    <n v="0"/>
    <n v="1"/>
    <x v="1"/>
    <n v="4"/>
  </r>
  <r>
    <n v="1161"/>
    <s v="Oscar Ribeiro"/>
    <x v="0"/>
    <d v="2025-07-26T00:00:00"/>
    <x v="150"/>
    <x v="0"/>
    <n v="15"/>
    <x v="2"/>
    <x v="0"/>
    <n v="30"/>
    <x v="0"/>
    <n v="20"/>
    <n v="7"/>
    <x v="2"/>
    <n v="58"/>
  </r>
  <r>
    <n v="1162"/>
    <s v="Patricia Almeida"/>
    <x v="2"/>
    <d v="2025-07-27T00:00:00"/>
    <x v="151"/>
    <x v="1"/>
    <n v="10"/>
    <x v="0"/>
    <x v="1"/>
    <n v="0"/>
    <x v="0"/>
    <n v="20"/>
    <n v="10"/>
    <x v="1"/>
    <n v="20"/>
  </r>
  <r>
    <n v="1163"/>
    <s v="Quirino Junior"/>
    <x v="1"/>
    <d v="2025-07-28T00:00:00"/>
    <x v="152"/>
    <x v="0"/>
    <n v="5"/>
    <x v="1"/>
    <x v="1"/>
    <n v="0"/>
    <x v="1"/>
    <n v="0"/>
    <n v="0"/>
    <x v="1"/>
    <n v="5"/>
  </r>
  <r>
    <n v="1164"/>
    <s v="Renata Machado"/>
    <x v="0"/>
    <d v="2025-07-29T00:00:00"/>
    <x v="153"/>
    <x v="1"/>
    <n v="15"/>
    <x v="0"/>
    <x v="0"/>
    <n v="30"/>
    <x v="0"/>
    <n v="20"/>
    <n v="20"/>
    <x v="1"/>
    <n v="45"/>
  </r>
  <r>
    <n v="1165"/>
    <s v="Sônia Alves"/>
    <x v="2"/>
    <d v="2025-07-30T00:00:00"/>
    <x v="154"/>
    <x v="0"/>
    <n v="10"/>
    <x v="2"/>
    <x v="1"/>
    <n v="0"/>
    <x v="0"/>
    <n v="20"/>
    <n v="15"/>
    <x v="2"/>
    <n v="15"/>
  </r>
  <r>
    <n v="1166"/>
    <s v="Tiago Nunes"/>
    <x v="1"/>
    <d v="2025-07-31T00:00:00"/>
    <x v="155"/>
    <x v="1"/>
    <n v="5"/>
    <x v="0"/>
    <x v="1"/>
    <n v="0"/>
    <x v="1"/>
    <n v="0"/>
    <n v="1"/>
    <x v="2"/>
    <n v="4"/>
  </r>
  <r>
    <n v="1167"/>
    <s v="Ulysses Pereira"/>
    <x v="0"/>
    <d v="2025-08-01T00:00:00"/>
    <x v="156"/>
    <x v="0"/>
    <n v="15"/>
    <x v="1"/>
    <x v="0"/>
    <n v="30"/>
    <x v="0"/>
    <n v="20"/>
    <n v="3"/>
    <x v="4"/>
    <n v="62"/>
  </r>
  <r>
    <n v="1168"/>
    <s v="Vanessa Lima"/>
    <x v="2"/>
    <d v="2025-08-02T00:00:00"/>
    <x v="157"/>
    <x v="1"/>
    <n v="10"/>
    <x v="0"/>
    <x v="1"/>
    <n v="0"/>
    <x v="0"/>
    <n v="20"/>
    <n v="10"/>
    <x v="4"/>
    <n v="20"/>
  </r>
  <r>
    <n v="1169"/>
    <s v="Wagner Santos"/>
    <x v="1"/>
    <d v="2025-08-03T00:00:00"/>
    <x v="158"/>
    <x v="0"/>
    <n v="5"/>
    <x v="2"/>
    <x v="1"/>
    <n v="0"/>
    <x v="1"/>
    <n v="0"/>
    <n v="0"/>
    <x v="2"/>
    <n v="5"/>
  </r>
  <r>
    <n v="1170"/>
    <s v="Xuxa Meneghel"/>
    <x v="0"/>
    <d v="2025-08-04T00:00:00"/>
    <x v="159"/>
    <x v="1"/>
    <n v="15"/>
    <x v="0"/>
    <x v="0"/>
    <n v="30"/>
    <x v="0"/>
    <n v="20"/>
    <n v="15"/>
    <x v="2"/>
    <n v="50"/>
  </r>
  <r>
    <n v="1171"/>
    <s v="Yasmin Silva"/>
    <x v="2"/>
    <d v="2025-08-05T00:00:00"/>
    <x v="160"/>
    <x v="0"/>
    <n v="10"/>
    <x v="1"/>
    <x v="1"/>
    <n v="0"/>
    <x v="0"/>
    <n v="20"/>
    <n v="15"/>
    <x v="4"/>
    <n v="15"/>
  </r>
  <r>
    <n v="1172"/>
    <s v="Zacarias de Souza"/>
    <x v="1"/>
    <d v="2025-08-06T00:00:00"/>
    <x v="161"/>
    <x v="1"/>
    <n v="5"/>
    <x v="0"/>
    <x v="1"/>
    <n v="0"/>
    <x v="1"/>
    <n v="0"/>
    <n v="1"/>
    <x v="1"/>
    <n v="4"/>
  </r>
  <r>
    <n v="1173"/>
    <s v="André Lima"/>
    <x v="0"/>
    <d v="2025-08-07T00:00:00"/>
    <x v="162"/>
    <x v="0"/>
    <n v="15"/>
    <x v="2"/>
    <x v="0"/>
    <n v="30"/>
    <x v="0"/>
    <n v="20"/>
    <n v="7"/>
    <x v="4"/>
    <n v="58"/>
  </r>
  <r>
    <n v="1174"/>
    <s v="Bianca Freitas"/>
    <x v="2"/>
    <d v="2025-08-08T00:00:00"/>
    <x v="163"/>
    <x v="1"/>
    <n v="10"/>
    <x v="0"/>
    <x v="1"/>
    <n v="0"/>
    <x v="0"/>
    <n v="20"/>
    <n v="10"/>
    <x v="0"/>
    <n v="20"/>
  </r>
  <r>
    <n v="1175"/>
    <s v="Caio Mendes"/>
    <x v="1"/>
    <d v="2025-08-09T00:00:00"/>
    <x v="164"/>
    <x v="0"/>
    <n v="5"/>
    <x v="1"/>
    <x v="1"/>
    <n v="0"/>
    <x v="1"/>
    <n v="0"/>
    <n v="0"/>
    <x v="0"/>
    <n v="5"/>
  </r>
  <r>
    <n v="1176"/>
    <s v="Daniela Moura"/>
    <x v="0"/>
    <d v="2025-08-10T00:00:00"/>
    <x v="165"/>
    <x v="1"/>
    <n v="15"/>
    <x v="0"/>
    <x v="0"/>
    <n v="30"/>
    <x v="0"/>
    <n v="20"/>
    <n v="20"/>
    <x v="1"/>
    <n v="45"/>
  </r>
  <r>
    <n v="1177"/>
    <s v="Eduardo Costa"/>
    <x v="2"/>
    <d v="2025-08-11T00:00:00"/>
    <x v="166"/>
    <x v="0"/>
    <n v="10"/>
    <x v="2"/>
    <x v="1"/>
    <n v="0"/>
    <x v="0"/>
    <n v="20"/>
    <n v="15"/>
    <x v="2"/>
    <n v="15"/>
  </r>
  <r>
    <n v="1178"/>
    <s v="Fernanda Gomes"/>
    <x v="1"/>
    <d v="2025-08-12T00:00:00"/>
    <x v="167"/>
    <x v="1"/>
    <n v="5"/>
    <x v="0"/>
    <x v="1"/>
    <n v="0"/>
    <x v="1"/>
    <n v="0"/>
    <n v="1"/>
    <x v="2"/>
    <n v="4"/>
  </r>
  <r>
    <n v="1179"/>
    <s v="Guilherme Souza"/>
    <x v="0"/>
    <d v="2025-08-13T00:00:00"/>
    <x v="168"/>
    <x v="0"/>
    <n v="15"/>
    <x v="1"/>
    <x v="0"/>
    <n v="30"/>
    <x v="0"/>
    <n v="20"/>
    <n v="5"/>
    <x v="4"/>
    <n v="60"/>
  </r>
  <r>
    <n v="1180"/>
    <s v="Helena Ribeiro"/>
    <x v="2"/>
    <d v="2025-08-14T00:00:00"/>
    <x v="169"/>
    <x v="1"/>
    <n v="10"/>
    <x v="0"/>
    <x v="1"/>
    <n v="0"/>
    <x v="0"/>
    <n v="20"/>
    <n v="10"/>
    <x v="4"/>
    <n v="20"/>
  </r>
  <r>
    <n v="1181"/>
    <s v="Igor Santos"/>
    <x v="1"/>
    <d v="2025-08-15T00:00:00"/>
    <x v="170"/>
    <x v="0"/>
    <n v="5"/>
    <x v="2"/>
    <x v="1"/>
    <n v="0"/>
    <x v="1"/>
    <n v="0"/>
    <n v="0"/>
    <x v="1"/>
    <n v="5"/>
  </r>
  <r>
    <n v="1182"/>
    <s v="João Carvalho"/>
    <x v="0"/>
    <d v="2025-08-16T00:00:00"/>
    <x v="171"/>
    <x v="1"/>
    <n v="15"/>
    <x v="0"/>
    <x v="0"/>
    <n v="30"/>
    <x v="0"/>
    <n v="20"/>
    <n v="3"/>
    <x v="4"/>
    <n v="62"/>
  </r>
  <r>
    <n v="1183"/>
    <s v="Klara Fagundes"/>
    <x v="2"/>
    <d v="2025-08-17T00:00:00"/>
    <x v="172"/>
    <x v="0"/>
    <n v="10"/>
    <x v="1"/>
    <x v="1"/>
    <n v="0"/>
    <x v="0"/>
    <n v="20"/>
    <n v="15"/>
    <x v="0"/>
    <n v="15"/>
  </r>
  <r>
    <n v="1184"/>
    <s v="Lúcia Mendonça"/>
    <x v="1"/>
    <d v="2025-08-18T00:00:00"/>
    <x v="173"/>
    <x v="1"/>
    <n v="5"/>
    <x v="0"/>
    <x v="1"/>
    <n v="0"/>
    <x v="1"/>
    <n v="0"/>
    <n v="1"/>
    <x v="4"/>
    <n v="4"/>
  </r>
  <r>
    <n v="1185"/>
    <s v="Marcelo Novaes"/>
    <x v="1"/>
    <d v="2025-08-19T00:00:00"/>
    <x v="174"/>
    <x v="0"/>
    <n v="5"/>
    <x v="0"/>
    <x v="1"/>
    <n v="0"/>
    <x v="1"/>
    <n v="0"/>
    <n v="0"/>
    <x v="2"/>
    <n v="5"/>
  </r>
  <r>
    <n v="1186"/>
    <s v="Nina Pacheco"/>
    <x v="0"/>
    <d v="2025-08-20T00:00:00"/>
    <x v="175"/>
    <x v="1"/>
    <n v="15"/>
    <x v="2"/>
    <x v="0"/>
    <n v="30"/>
    <x v="0"/>
    <n v="20"/>
    <n v="7"/>
    <x v="0"/>
    <n v="58"/>
  </r>
  <r>
    <n v="1187"/>
    <s v="Olívia Rios"/>
    <x v="2"/>
    <d v="2025-08-21T00:00:00"/>
    <x v="176"/>
    <x v="0"/>
    <n v="10"/>
    <x v="1"/>
    <x v="1"/>
    <n v="0"/>
    <x v="0"/>
    <n v="20"/>
    <n v="10"/>
    <x v="4"/>
    <n v="20"/>
  </r>
  <r>
    <n v="1188"/>
    <s v="Paulo Quintana"/>
    <x v="1"/>
    <d v="2025-08-22T00:00:00"/>
    <x v="177"/>
    <x v="1"/>
    <n v="5"/>
    <x v="2"/>
    <x v="1"/>
    <n v="0"/>
    <x v="1"/>
    <n v="0"/>
    <n v="1"/>
    <x v="1"/>
    <n v="4"/>
  </r>
  <r>
    <n v="1189"/>
    <s v="Raquel Domingos"/>
    <x v="0"/>
    <d v="2025-08-23T00:00:00"/>
    <x v="178"/>
    <x v="0"/>
    <n v="15"/>
    <x v="0"/>
    <x v="0"/>
    <n v="30"/>
    <x v="0"/>
    <n v="20"/>
    <n v="15"/>
    <x v="4"/>
    <n v="50"/>
  </r>
  <r>
    <n v="1190"/>
    <s v="Samuel Viana"/>
    <x v="2"/>
    <d v="2025-08-24T00:00:00"/>
    <x v="179"/>
    <x v="1"/>
    <n v="10"/>
    <x v="0"/>
    <x v="1"/>
    <n v="0"/>
    <x v="0"/>
    <n v="20"/>
    <n v="5"/>
    <x v="4"/>
    <n v="25"/>
  </r>
  <r>
    <n v="1191"/>
    <s v="Tatiane Rocha"/>
    <x v="1"/>
    <d v="2025-08-25T00:00:00"/>
    <x v="180"/>
    <x v="0"/>
    <n v="5"/>
    <x v="1"/>
    <x v="1"/>
    <n v="0"/>
    <x v="1"/>
    <n v="0"/>
    <n v="0"/>
    <x v="0"/>
    <n v="5"/>
  </r>
  <r>
    <n v="1192"/>
    <s v="Ulysses Farias"/>
    <x v="0"/>
    <d v="2025-08-26T00:00:00"/>
    <x v="181"/>
    <x v="1"/>
    <n v="15"/>
    <x v="2"/>
    <x v="0"/>
    <n v="30"/>
    <x v="0"/>
    <n v="20"/>
    <n v="20"/>
    <x v="4"/>
    <n v="45"/>
  </r>
  <r>
    <n v="1193"/>
    <s v="Vanessa Moreira"/>
    <x v="2"/>
    <d v="2025-08-27T00:00:00"/>
    <x v="182"/>
    <x v="0"/>
    <n v="10"/>
    <x v="2"/>
    <x v="1"/>
    <n v="0"/>
    <x v="0"/>
    <n v="20"/>
    <n v="12"/>
    <x v="0"/>
    <n v="18"/>
  </r>
  <r>
    <n v="1194"/>
    <s v="William Carvalho"/>
    <x v="1"/>
    <d v="2025-08-28T00:00:00"/>
    <x v="183"/>
    <x v="1"/>
    <n v="5"/>
    <x v="0"/>
    <x v="1"/>
    <n v="0"/>
    <x v="1"/>
    <n v="0"/>
    <n v="2"/>
    <x v="4"/>
    <n v="3"/>
  </r>
  <r>
    <n v="1195"/>
    <s v="Ximena Barros"/>
    <x v="0"/>
    <d v="2025-08-29T00:00:00"/>
    <x v="184"/>
    <x v="0"/>
    <n v="15"/>
    <x v="1"/>
    <x v="0"/>
    <n v="30"/>
    <x v="0"/>
    <n v="20"/>
    <n v="5"/>
    <x v="0"/>
    <n v="60"/>
  </r>
  <r>
    <n v="1196"/>
    <s v="Yara Machado"/>
    <x v="2"/>
    <d v="2025-08-30T00:00:00"/>
    <x v="185"/>
    <x v="1"/>
    <n v="10"/>
    <x v="0"/>
    <x v="1"/>
    <n v="0"/>
    <x v="0"/>
    <n v="20"/>
    <n v="10"/>
    <x v="1"/>
    <n v="20"/>
  </r>
  <r>
    <n v="1197"/>
    <s v="Zacarias Costa"/>
    <x v="1"/>
    <d v="2025-08-31T00:00:00"/>
    <x v="186"/>
    <x v="0"/>
    <n v="5"/>
    <x v="2"/>
    <x v="1"/>
    <n v="0"/>
    <x v="1"/>
    <n v="0"/>
    <n v="0"/>
    <x v="1"/>
    <n v="5"/>
  </r>
  <r>
    <n v="1198"/>
    <s v="André Lopes"/>
    <x v="0"/>
    <d v="2025-09-01T00:00:00"/>
    <x v="187"/>
    <x v="1"/>
    <n v="15"/>
    <x v="0"/>
    <x v="0"/>
    <n v="30"/>
    <x v="0"/>
    <n v="20"/>
    <n v="3"/>
    <x v="2"/>
    <n v="62"/>
  </r>
  <r>
    <n v="1199"/>
    <s v="Beatriz Souza"/>
    <x v="2"/>
    <d v="2025-09-02T00:00:00"/>
    <x v="188"/>
    <x v="0"/>
    <n v="10"/>
    <x v="1"/>
    <x v="1"/>
    <n v="0"/>
    <x v="0"/>
    <n v="20"/>
    <n v="15"/>
    <x v="1"/>
    <n v="15"/>
  </r>
  <r>
    <n v="1200"/>
    <s v="Caio Pereira"/>
    <x v="1"/>
    <d v="2025-09-03T00:00:00"/>
    <x v="189"/>
    <x v="1"/>
    <n v="5"/>
    <x v="0"/>
    <x v="1"/>
    <n v="0"/>
    <x v="1"/>
    <n v="0"/>
    <n v="1"/>
    <x v="1"/>
    <n v="4"/>
  </r>
  <r>
    <n v="1201"/>
    <s v="Daniela Araújo"/>
    <x v="0"/>
    <d v="2025-09-04T00:00:00"/>
    <x v="190"/>
    <x v="0"/>
    <n v="15"/>
    <x v="2"/>
    <x v="0"/>
    <n v="30"/>
    <x v="0"/>
    <n v="20"/>
    <n v="7"/>
    <x v="4"/>
    <n v="58"/>
  </r>
  <r>
    <n v="1202"/>
    <s v="Eduardo Santos"/>
    <x v="2"/>
    <d v="2025-09-05T00:00:00"/>
    <x v="191"/>
    <x v="1"/>
    <n v="10"/>
    <x v="0"/>
    <x v="1"/>
    <n v="0"/>
    <x v="0"/>
    <n v="20"/>
    <n v="10"/>
    <x v="4"/>
    <n v="20"/>
  </r>
  <r>
    <n v="1203"/>
    <s v="Fernanda Lima"/>
    <x v="1"/>
    <d v="2025-09-06T00:00:00"/>
    <x v="192"/>
    <x v="0"/>
    <n v="5"/>
    <x v="1"/>
    <x v="1"/>
    <n v="0"/>
    <x v="1"/>
    <n v="0"/>
    <n v="0"/>
    <x v="2"/>
    <n v="5"/>
  </r>
  <r>
    <n v="1204"/>
    <s v="Gabriel Teixeira"/>
    <x v="0"/>
    <d v="2025-09-07T00:00:00"/>
    <x v="193"/>
    <x v="1"/>
    <n v="15"/>
    <x v="0"/>
    <x v="0"/>
    <n v="30"/>
    <x v="0"/>
    <n v="20"/>
    <n v="20"/>
    <x v="4"/>
    <n v="45"/>
  </r>
  <r>
    <n v="1205"/>
    <s v="Helena Ribeiro"/>
    <x v="2"/>
    <d v="2025-09-08T00:00:00"/>
    <x v="194"/>
    <x v="0"/>
    <n v="10"/>
    <x v="2"/>
    <x v="1"/>
    <n v="0"/>
    <x v="0"/>
    <n v="20"/>
    <n v="15"/>
    <x v="4"/>
    <n v="15"/>
  </r>
  <r>
    <n v="1206"/>
    <s v="Igor Mendes"/>
    <x v="1"/>
    <d v="2025-09-09T00:00:00"/>
    <x v="195"/>
    <x v="1"/>
    <n v="5"/>
    <x v="0"/>
    <x v="1"/>
    <n v="0"/>
    <x v="1"/>
    <n v="0"/>
    <n v="1"/>
    <x v="2"/>
    <n v="4"/>
  </r>
  <r>
    <n v="1207"/>
    <s v="Joana Silveira"/>
    <x v="0"/>
    <d v="2025-09-10T00:00:00"/>
    <x v="196"/>
    <x v="0"/>
    <n v="15"/>
    <x v="1"/>
    <x v="0"/>
    <n v="30"/>
    <x v="0"/>
    <n v="20"/>
    <n v="3"/>
    <x v="0"/>
    <n v="62"/>
  </r>
  <r>
    <n v="1208"/>
    <s v="Lucas Martins"/>
    <x v="2"/>
    <d v="2025-09-11T00:00:00"/>
    <x v="197"/>
    <x v="1"/>
    <n v="10"/>
    <x v="0"/>
    <x v="1"/>
    <n v="0"/>
    <x v="0"/>
    <n v="20"/>
    <n v="10"/>
    <x v="2"/>
    <n v="20"/>
  </r>
  <r>
    <n v="1209"/>
    <s v="Marcela Gouveia"/>
    <x v="1"/>
    <d v="2025-09-12T00:00:00"/>
    <x v="198"/>
    <x v="0"/>
    <n v="5"/>
    <x v="2"/>
    <x v="1"/>
    <n v="0"/>
    <x v="1"/>
    <n v="0"/>
    <n v="0"/>
    <x v="2"/>
    <n v="5"/>
  </r>
  <r>
    <n v="1210"/>
    <s v="Nicolas Borges"/>
    <x v="0"/>
    <d v="2025-09-13T00:00:00"/>
    <x v="199"/>
    <x v="1"/>
    <n v="15"/>
    <x v="0"/>
    <x v="0"/>
    <n v="30"/>
    <x v="0"/>
    <n v="20"/>
    <n v="15"/>
    <x v="0"/>
    <n v="50"/>
  </r>
  <r>
    <n v="1211"/>
    <s v="Olivia Freitas"/>
    <x v="2"/>
    <d v="2025-09-14T00:00:00"/>
    <x v="200"/>
    <x v="0"/>
    <n v="10"/>
    <x v="1"/>
    <x v="1"/>
    <n v="0"/>
    <x v="0"/>
    <n v="20"/>
    <n v="15"/>
    <x v="4"/>
    <n v="15"/>
  </r>
  <r>
    <n v="1212"/>
    <s v="Paulo Nogueira"/>
    <x v="1"/>
    <d v="2025-09-15T00:00:00"/>
    <x v="201"/>
    <x v="1"/>
    <n v="5"/>
    <x v="0"/>
    <x v="1"/>
    <n v="0"/>
    <x v="1"/>
    <n v="0"/>
    <n v="1"/>
    <x v="4"/>
    <n v="4"/>
  </r>
  <r>
    <n v="1213"/>
    <s v="Raquel Andrade"/>
    <x v="0"/>
    <d v="2025-09-16T00:00:00"/>
    <x v="202"/>
    <x v="0"/>
    <n v="15"/>
    <x v="2"/>
    <x v="0"/>
    <n v="30"/>
    <x v="0"/>
    <n v="20"/>
    <n v="7"/>
    <x v="1"/>
    <n v="58"/>
  </r>
  <r>
    <n v="1214"/>
    <s v="Sônia Carvalho"/>
    <x v="2"/>
    <d v="2025-09-17T00:00:00"/>
    <x v="203"/>
    <x v="1"/>
    <n v="10"/>
    <x v="0"/>
    <x v="1"/>
    <n v="0"/>
    <x v="0"/>
    <n v="20"/>
    <n v="10"/>
    <x v="0"/>
    <n v="20"/>
  </r>
  <r>
    <n v="1215"/>
    <s v="Tiago Rodrigues"/>
    <x v="1"/>
    <d v="2025-09-18T00:00:00"/>
    <x v="204"/>
    <x v="0"/>
    <n v="5"/>
    <x v="0"/>
    <x v="1"/>
    <n v="0"/>
    <x v="1"/>
    <n v="0"/>
    <n v="0"/>
    <x v="1"/>
    <n v="5"/>
  </r>
  <r>
    <n v="1216"/>
    <s v="Ursula Monteiro"/>
    <x v="0"/>
    <d v="2025-09-19T00:00:00"/>
    <x v="205"/>
    <x v="1"/>
    <n v="15"/>
    <x v="2"/>
    <x v="0"/>
    <n v="30"/>
    <x v="0"/>
    <n v="20"/>
    <n v="7"/>
    <x v="1"/>
    <n v="58"/>
  </r>
  <r>
    <n v="1217"/>
    <s v="Vanessa Pereira"/>
    <x v="2"/>
    <d v="2025-09-20T00:00:00"/>
    <x v="206"/>
    <x v="0"/>
    <n v="10"/>
    <x v="1"/>
    <x v="1"/>
    <n v="0"/>
    <x v="0"/>
    <n v="20"/>
    <n v="10"/>
    <x v="2"/>
    <n v="20"/>
  </r>
  <r>
    <n v="1218"/>
    <s v="Walter Silva"/>
    <x v="1"/>
    <d v="2025-09-21T00:00:00"/>
    <x v="207"/>
    <x v="1"/>
    <n v="5"/>
    <x v="2"/>
    <x v="1"/>
    <n v="0"/>
    <x v="1"/>
    <n v="0"/>
    <n v="1"/>
    <x v="4"/>
    <n v="4"/>
  </r>
  <r>
    <n v="1219"/>
    <s v="Xavier Almeida"/>
    <x v="0"/>
    <d v="2025-09-22T00:00:00"/>
    <x v="208"/>
    <x v="0"/>
    <n v="15"/>
    <x v="0"/>
    <x v="0"/>
    <n v="30"/>
    <x v="0"/>
    <n v="20"/>
    <n v="15"/>
    <x v="4"/>
    <n v="50"/>
  </r>
  <r>
    <n v="1220"/>
    <s v="Yasmine Correia"/>
    <x v="2"/>
    <d v="2025-09-23T00:00:00"/>
    <x v="209"/>
    <x v="1"/>
    <n v="10"/>
    <x v="0"/>
    <x v="1"/>
    <n v="0"/>
    <x v="0"/>
    <n v="20"/>
    <n v="5"/>
    <x v="0"/>
    <n v="25"/>
  </r>
  <r>
    <n v="1221"/>
    <s v="Zacarias Almeida"/>
    <x v="1"/>
    <d v="2025-09-24T00:00:00"/>
    <x v="210"/>
    <x v="0"/>
    <n v="5"/>
    <x v="1"/>
    <x v="1"/>
    <n v="0"/>
    <x v="1"/>
    <n v="0"/>
    <n v="0"/>
    <x v="2"/>
    <n v="5"/>
  </r>
  <r>
    <n v="1222"/>
    <s v="Amanda Costa"/>
    <x v="0"/>
    <d v="2025-09-25T00:00:00"/>
    <x v="211"/>
    <x v="1"/>
    <n v="15"/>
    <x v="2"/>
    <x v="0"/>
    <n v="30"/>
    <x v="0"/>
    <n v="20"/>
    <n v="20"/>
    <x v="1"/>
    <n v="45"/>
  </r>
  <r>
    <n v="1223"/>
    <s v="Bruno Ferreira"/>
    <x v="2"/>
    <d v="2025-09-26T00:00:00"/>
    <x v="212"/>
    <x v="0"/>
    <n v="10"/>
    <x v="2"/>
    <x v="1"/>
    <n v="0"/>
    <x v="0"/>
    <n v="20"/>
    <n v="12"/>
    <x v="4"/>
    <n v="18"/>
  </r>
  <r>
    <n v="1224"/>
    <s v="Carla Dias"/>
    <x v="1"/>
    <d v="2025-09-27T00:00:00"/>
    <x v="213"/>
    <x v="1"/>
    <n v="5"/>
    <x v="0"/>
    <x v="1"/>
    <n v="0"/>
    <x v="1"/>
    <n v="0"/>
    <n v="2"/>
    <x v="1"/>
    <n v="3"/>
  </r>
  <r>
    <n v="1225"/>
    <s v="Diogo Martins"/>
    <x v="0"/>
    <d v="2025-09-28T00:00:00"/>
    <x v="214"/>
    <x v="0"/>
    <n v="15"/>
    <x v="1"/>
    <x v="0"/>
    <n v="30"/>
    <x v="0"/>
    <n v="20"/>
    <n v="5"/>
    <x v="2"/>
    <n v="60"/>
  </r>
  <r>
    <n v="1226"/>
    <s v="Elisa Campos"/>
    <x v="2"/>
    <d v="2025-09-29T00:00:00"/>
    <x v="215"/>
    <x v="1"/>
    <n v="10"/>
    <x v="0"/>
    <x v="1"/>
    <n v="0"/>
    <x v="0"/>
    <n v="20"/>
    <n v="10"/>
    <x v="0"/>
    <n v="20"/>
  </r>
  <r>
    <n v="1227"/>
    <s v="Fabiana Lima"/>
    <x v="1"/>
    <d v="2025-09-30T00:00:00"/>
    <x v="216"/>
    <x v="0"/>
    <n v="5"/>
    <x v="2"/>
    <x v="1"/>
    <n v="0"/>
    <x v="1"/>
    <n v="0"/>
    <n v="0"/>
    <x v="2"/>
    <n v="5"/>
  </r>
  <r>
    <n v="1228"/>
    <s v="Gabriel Santos"/>
    <x v="0"/>
    <d v="2025-10-01T00:00:00"/>
    <x v="217"/>
    <x v="1"/>
    <n v="15"/>
    <x v="0"/>
    <x v="0"/>
    <n v="30"/>
    <x v="0"/>
    <n v="20"/>
    <n v="3"/>
    <x v="2"/>
    <n v="62"/>
  </r>
  <r>
    <n v="1229"/>
    <s v="Helena Ferreira"/>
    <x v="2"/>
    <d v="2025-10-02T00:00:00"/>
    <x v="218"/>
    <x v="0"/>
    <n v="10"/>
    <x v="1"/>
    <x v="1"/>
    <n v="0"/>
    <x v="0"/>
    <n v="20"/>
    <n v="15"/>
    <x v="4"/>
    <n v="15"/>
  </r>
  <r>
    <n v="1230"/>
    <s v="Ígor Nunes"/>
    <x v="1"/>
    <d v="2025-10-03T00:00:00"/>
    <x v="219"/>
    <x v="1"/>
    <n v="5"/>
    <x v="0"/>
    <x v="1"/>
    <n v="0"/>
    <x v="1"/>
    <n v="0"/>
    <n v="1"/>
    <x v="4"/>
    <n v="4"/>
  </r>
  <r>
    <n v="1231"/>
    <s v="Joana Silveira"/>
    <x v="0"/>
    <d v="2025-10-04T00:00:00"/>
    <x v="220"/>
    <x v="0"/>
    <n v="15"/>
    <x v="2"/>
    <x v="0"/>
    <n v="30"/>
    <x v="0"/>
    <n v="20"/>
    <n v="7"/>
    <x v="4"/>
    <n v="58"/>
  </r>
  <r>
    <n v="1232"/>
    <s v="Kléber Oliveira"/>
    <x v="2"/>
    <d v="2025-10-05T00:00:00"/>
    <x v="221"/>
    <x v="1"/>
    <n v="10"/>
    <x v="0"/>
    <x v="1"/>
    <n v="0"/>
    <x v="0"/>
    <n v="20"/>
    <n v="10"/>
    <x v="4"/>
    <n v="20"/>
  </r>
  <r>
    <n v="1233"/>
    <s v="Luciana Morais"/>
    <x v="1"/>
    <d v="2025-10-06T00:00:00"/>
    <x v="222"/>
    <x v="0"/>
    <n v="5"/>
    <x v="1"/>
    <x v="1"/>
    <n v="0"/>
    <x v="1"/>
    <n v="0"/>
    <n v="0"/>
    <x v="4"/>
    <n v="5"/>
  </r>
  <r>
    <n v="1234"/>
    <s v="Marcos Vinícius"/>
    <x v="0"/>
    <d v="2025-10-07T00:00:00"/>
    <x v="223"/>
    <x v="1"/>
    <n v="15"/>
    <x v="0"/>
    <x v="0"/>
    <n v="30"/>
    <x v="0"/>
    <n v="20"/>
    <n v="20"/>
    <x v="0"/>
    <n v="45"/>
  </r>
  <r>
    <n v="1235"/>
    <s v="Natália Barros"/>
    <x v="2"/>
    <d v="2025-10-08T00:00:00"/>
    <x v="224"/>
    <x v="0"/>
    <n v="10"/>
    <x v="2"/>
    <x v="1"/>
    <n v="0"/>
    <x v="0"/>
    <n v="20"/>
    <n v="15"/>
    <x v="0"/>
    <n v="15"/>
  </r>
  <r>
    <n v="1236"/>
    <s v="Oscar Sampaio"/>
    <x v="1"/>
    <d v="2025-10-09T00:00:00"/>
    <x v="225"/>
    <x v="1"/>
    <n v="5"/>
    <x v="0"/>
    <x v="1"/>
    <n v="0"/>
    <x v="1"/>
    <n v="0"/>
    <n v="1"/>
    <x v="0"/>
    <n v="4"/>
  </r>
  <r>
    <n v="1237"/>
    <s v="Patrícia Leite"/>
    <x v="0"/>
    <d v="2025-10-10T00:00:00"/>
    <x v="226"/>
    <x v="0"/>
    <n v="15"/>
    <x v="1"/>
    <x v="0"/>
    <n v="30"/>
    <x v="0"/>
    <n v="20"/>
    <n v="3"/>
    <x v="2"/>
    <n v="62"/>
  </r>
  <r>
    <n v="1238"/>
    <s v="Quênia Rocha"/>
    <x v="2"/>
    <d v="2025-10-11T00:00:00"/>
    <x v="227"/>
    <x v="1"/>
    <n v="10"/>
    <x v="0"/>
    <x v="1"/>
    <n v="0"/>
    <x v="0"/>
    <n v="20"/>
    <n v="10"/>
    <x v="4"/>
    <n v="20"/>
  </r>
  <r>
    <n v="1239"/>
    <s v="Rafael Torres"/>
    <x v="1"/>
    <d v="2025-10-12T00:00:00"/>
    <x v="228"/>
    <x v="0"/>
    <n v="5"/>
    <x v="2"/>
    <x v="1"/>
    <n v="0"/>
    <x v="1"/>
    <n v="0"/>
    <n v="0"/>
    <x v="2"/>
    <n v="5"/>
  </r>
  <r>
    <n v="1240"/>
    <s v="Sandra Gouveia"/>
    <x v="0"/>
    <d v="2025-10-13T00:00:00"/>
    <x v="229"/>
    <x v="1"/>
    <n v="15"/>
    <x v="0"/>
    <x v="0"/>
    <n v="30"/>
    <x v="0"/>
    <n v="20"/>
    <n v="15"/>
    <x v="2"/>
    <n v="50"/>
  </r>
  <r>
    <n v="1241"/>
    <s v="Tiago Lacerda"/>
    <x v="2"/>
    <d v="2025-10-14T00:00:00"/>
    <x v="230"/>
    <x v="0"/>
    <n v="10"/>
    <x v="1"/>
    <x v="1"/>
    <n v="0"/>
    <x v="0"/>
    <n v="20"/>
    <n v="15"/>
    <x v="3"/>
    <n v="15"/>
  </r>
  <r>
    <n v="1242"/>
    <s v="Ursula Fonseca"/>
    <x v="1"/>
    <d v="2025-10-15T00:00:00"/>
    <x v="231"/>
    <x v="1"/>
    <n v="5"/>
    <x v="0"/>
    <x v="1"/>
    <n v="0"/>
    <x v="1"/>
    <n v="0"/>
    <n v="1"/>
    <x v="4"/>
    <n v="4"/>
  </r>
  <r>
    <n v="1243"/>
    <s v="Vanessa Andrade"/>
    <x v="0"/>
    <d v="2025-10-16T00:00:00"/>
    <x v="232"/>
    <x v="0"/>
    <n v="15"/>
    <x v="2"/>
    <x v="0"/>
    <n v="30"/>
    <x v="0"/>
    <n v="20"/>
    <n v="7"/>
    <x v="4"/>
    <n v="58"/>
  </r>
  <r>
    <n v="1244"/>
    <s v="William Castro"/>
    <x v="2"/>
    <d v="2025-10-17T00:00:00"/>
    <x v="233"/>
    <x v="1"/>
    <n v="10"/>
    <x v="0"/>
    <x v="1"/>
    <n v="0"/>
    <x v="0"/>
    <n v="20"/>
    <n v="10"/>
    <x v="4"/>
    <n v="20"/>
  </r>
  <r>
    <n v="1245"/>
    <s v="Xavier Monteiro"/>
    <x v="1"/>
    <d v="2025-10-18T00:00:00"/>
    <x v="234"/>
    <x v="0"/>
    <n v="5"/>
    <x v="1"/>
    <x v="1"/>
    <n v="0"/>
    <x v="1"/>
    <n v="0"/>
    <n v="0"/>
    <x v="3"/>
    <n v="5"/>
  </r>
  <r>
    <n v="1246"/>
    <s v="Yasmin Figueira"/>
    <x v="0"/>
    <d v="2025-10-19T00:00:00"/>
    <x v="235"/>
    <x v="1"/>
    <n v="15"/>
    <x v="0"/>
    <x v="0"/>
    <n v="30"/>
    <x v="0"/>
    <n v="20"/>
    <n v="15"/>
    <x v="4"/>
    <n v="50"/>
  </r>
  <r>
    <n v="1247"/>
    <s v="Zacarias Mendonça"/>
    <x v="2"/>
    <d v="2025-10-20T00:00:00"/>
    <x v="236"/>
    <x v="0"/>
    <n v="10"/>
    <x v="2"/>
    <x v="1"/>
    <n v="0"/>
    <x v="0"/>
    <n v="20"/>
    <n v="12"/>
    <x v="4"/>
    <n v="18"/>
  </r>
  <r>
    <n v="1248"/>
    <s v="Amanda Menezes"/>
    <x v="1"/>
    <d v="2025-10-21T00:00:00"/>
    <x v="237"/>
    <x v="1"/>
    <n v="5"/>
    <x v="0"/>
    <x v="1"/>
    <n v="0"/>
    <x v="1"/>
    <n v="0"/>
    <n v="2"/>
    <x v="2"/>
    <n v="3"/>
  </r>
  <r>
    <n v="1249"/>
    <s v="Bruno Santos"/>
    <x v="0"/>
    <d v="2025-10-22T00:00:00"/>
    <x v="238"/>
    <x v="0"/>
    <n v="15"/>
    <x v="1"/>
    <x v="0"/>
    <n v="30"/>
    <x v="0"/>
    <n v="20"/>
    <n v="5"/>
    <x v="3"/>
    <n v="60"/>
  </r>
  <r>
    <n v="1250"/>
    <s v="Carla Ferreira"/>
    <x v="2"/>
    <d v="2025-10-23T00:00:00"/>
    <x v="239"/>
    <x v="1"/>
    <n v="10"/>
    <x v="0"/>
    <x v="1"/>
    <n v="0"/>
    <x v="0"/>
    <n v="20"/>
    <n v="10"/>
    <x v="3"/>
    <n v="20"/>
  </r>
  <r>
    <n v="1251"/>
    <s v="Diogo Alves"/>
    <x v="1"/>
    <d v="2025-10-24T00:00:00"/>
    <x v="240"/>
    <x v="0"/>
    <n v="5"/>
    <x v="2"/>
    <x v="1"/>
    <n v="0"/>
    <x v="1"/>
    <n v="0"/>
    <n v="0"/>
    <x v="0"/>
    <n v="5"/>
  </r>
  <r>
    <n v="1252"/>
    <s v="Elisa Neves"/>
    <x v="0"/>
    <d v="2025-10-25T00:00:00"/>
    <x v="241"/>
    <x v="1"/>
    <n v="15"/>
    <x v="0"/>
    <x v="0"/>
    <n v="30"/>
    <x v="0"/>
    <n v="20"/>
    <n v="3"/>
    <x v="3"/>
    <n v="62"/>
  </r>
  <r>
    <n v="1253"/>
    <s v="Fabiano Pires"/>
    <x v="2"/>
    <d v="2025-10-26T00:00:00"/>
    <x v="242"/>
    <x v="0"/>
    <n v="10"/>
    <x v="1"/>
    <x v="1"/>
    <n v="0"/>
    <x v="0"/>
    <n v="20"/>
    <n v="15"/>
    <x v="4"/>
    <n v="15"/>
  </r>
  <r>
    <n v="1254"/>
    <s v="Giovana Ribeiro"/>
    <x v="1"/>
    <d v="2025-10-27T00:00:00"/>
    <x v="243"/>
    <x v="1"/>
    <n v="5"/>
    <x v="0"/>
    <x v="1"/>
    <n v="0"/>
    <x v="1"/>
    <n v="0"/>
    <n v="1"/>
    <x v="3"/>
    <n v="4"/>
  </r>
  <r>
    <n v="1255"/>
    <s v="Hélio Costa"/>
    <x v="0"/>
    <d v="2025-10-28T00:00:00"/>
    <x v="244"/>
    <x v="0"/>
    <n v="15"/>
    <x v="2"/>
    <x v="0"/>
    <n v="30"/>
    <x v="0"/>
    <n v="20"/>
    <n v="7"/>
    <x v="0"/>
    <n v="58"/>
  </r>
  <r>
    <n v="1256"/>
    <s v="Íris Loureiro"/>
    <x v="2"/>
    <d v="2025-10-29T00:00:00"/>
    <x v="245"/>
    <x v="1"/>
    <n v="10"/>
    <x v="0"/>
    <x v="1"/>
    <n v="0"/>
    <x v="0"/>
    <n v="20"/>
    <n v="10"/>
    <x v="0"/>
    <n v="20"/>
  </r>
  <r>
    <n v="1257"/>
    <s v="João Pereira"/>
    <x v="1"/>
    <d v="2025-10-30T00:00:00"/>
    <x v="246"/>
    <x v="0"/>
    <n v="5"/>
    <x v="1"/>
    <x v="1"/>
    <n v="0"/>
    <x v="1"/>
    <n v="0"/>
    <n v="0"/>
    <x v="4"/>
    <n v="5"/>
  </r>
  <r>
    <n v="1258"/>
    <s v="Klara Silva"/>
    <x v="0"/>
    <d v="2025-10-31T00:00:00"/>
    <x v="247"/>
    <x v="1"/>
    <n v="15"/>
    <x v="0"/>
    <x v="0"/>
    <n v="30"/>
    <x v="0"/>
    <n v="20"/>
    <n v="20"/>
    <x v="4"/>
    <n v="45"/>
  </r>
  <r>
    <n v="1259"/>
    <s v="Luciana Barros"/>
    <x v="2"/>
    <d v="2025-11-01T00:00:00"/>
    <x v="248"/>
    <x v="0"/>
    <n v="10"/>
    <x v="2"/>
    <x v="1"/>
    <n v="0"/>
    <x v="0"/>
    <n v="20"/>
    <n v="15"/>
    <x v="3"/>
    <n v="15"/>
  </r>
  <r>
    <n v="1260"/>
    <s v="Marcos Gomes"/>
    <x v="1"/>
    <d v="2025-11-02T00:00:00"/>
    <x v="249"/>
    <x v="1"/>
    <n v="5"/>
    <x v="0"/>
    <x v="1"/>
    <n v="0"/>
    <x v="1"/>
    <n v="0"/>
    <n v="1"/>
    <x v="3"/>
    <n v="4"/>
  </r>
  <r>
    <n v="1261"/>
    <s v="Natália Soares"/>
    <x v="0"/>
    <d v="2025-11-03T00:00:00"/>
    <x v="250"/>
    <x v="0"/>
    <n v="15"/>
    <x v="1"/>
    <x v="0"/>
    <n v="30"/>
    <x v="0"/>
    <n v="20"/>
    <n v="3"/>
    <x v="3"/>
    <n v="62"/>
  </r>
  <r>
    <n v="1262"/>
    <s v="Oscar Machado"/>
    <x v="2"/>
    <d v="2025-11-04T00:00:00"/>
    <x v="251"/>
    <x v="1"/>
    <n v="10"/>
    <x v="0"/>
    <x v="1"/>
    <n v="0"/>
    <x v="0"/>
    <n v="20"/>
    <n v="10"/>
    <x v="0"/>
    <n v="20"/>
  </r>
  <r>
    <n v="1263"/>
    <s v="Patrícia Lima"/>
    <x v="1"/>
    <d v="2025-11-05T00:00:00"/>
    <x v="252"/>
    <x v="0"/>
    <n v="5"/>
    <x v="2"/>
    <x v="1"/>
    <n v="0"/>
    <x v="1"/>
    <n v="0"/>
    <n v="0"/>
    <x v="0"/>
    <n v="5"/>
  </r>
  <r>
    <n v="1264"/>
    <s v="Quirino Neto"/>
    <x v="0"/>
    <d v="2025-11-06T00:00:00"/>
    <x v="253"/>
    <x v="1"/>
    <n v="15"/>
    <x v="0"/>
    <x v="0"/>
    <n v="30"/>
    <x v="0"/>
    <n v="20"/>
    <n v="15"/>
    <x v="4"/>
    <n v="50"/>
  </r>
  <r>
    <n v="1265"/>
    <s v="Rafaela Souza"/>
    <x v="1"/>
    <d v="2025-11-07T00:00:00"/>
    <x v="254"/>
    <x v="0"/>
    <n v="5"/>
    <x v="0"/>
    <x v="1"/>
    <n v="0"/>
    <x v="1"/>
    <n v="0"/>
    <n v="0"/>
    <x v="3"/>
    <n v="5"/>
  </r>
  <r>
    <n v="1266"/>
    <s v="Sandro Almeida"/>
    <x v="0"/>
    <d v="2025-11-08T00:00:00"/>
    <x v="255"/>
    <x v="1"/>
    <n v="15"/>
    <x v="2"/>
    <x v="0"/>
    <n v="30"/>
    <x v="0"/>
    <n v="20"/>
    <n v="7"/>
    <x v="3"/>
    <n v="58"/>
  </r>
  <r>
    <n v="1267"/>
    <s v="Tânia Ribeiro"/>
    <x v="2"/>
    <d v="2025-11-09T00:00:00"/>
    <x v="256"/>
    <x v="0"/>
    <n v="10"/>
    <x v="1"/>
    <x v="1"/>
    <n v="0"/>
    <x v="0"/>
    <n v="20"/>
    <n v="10"/>
    <x v="4"/>
    <n v="20"/>
  </r>
  <r>
    <n v="1268"/>
    <s v="Ugo Dias"/>
    <x v="1"/>
    <d v="2025-11-10T00:00:00"/>
    <x v="257"/>
    <x v="1"/>
    <n v="5"/>
    <x v="2"/>
    <x v="1"/>
    <n v="0"/>
    <x v="1"/>
    <n v="0"/>
    <n v="1"/>
    <x v="2"/>
    <n v="4"/>
  </r>
  <r>
    <n v="1269"/>
    <s v="Valéria Lima"/>
    <x v="0"/>
    <d v="2025-11-11T00:00:00"/>
    <x v="258"/>
    <x v="0"/>
    <n v="15"/>
    <x v="0"/>
    <x v="0"/>
    <n v="30"/>
    <x v="0"/>
    <n v="20"/>
    <n v="15"/>
    <x v="0"/>
    <n v="50"/>
  </r>
  <r>
    <n v="1270"/>
    <s v="William Fernandes"/>
    <x v="2"/>
    <d v="2025-11-12T00:00:00"/>
    <x v="259"/>
    <x v="1"/>
    <n v="10"/>
    <x v="0"/>
    <x v="1"/>
    <n v="0"/>
    <x v="0"/>
    <n v="20"/>
    <n v="5"/>
    <x v="3"/>
    <n v="25"/>
  </r>
  <r>
    <n v="1271"/>
    <s v="Xuxa Mendes"/>
    <x v="1"/>
    <d v="2025-11-13T00:00:00"/>
    <x v="260"/>
    <x v="0"/>
    <n v="5"/>
    <x v="1"/>
    <x v="1"/>
    <n v="0"/>
    <x v="1"/>
    <n v="0"/>
    <n v="0"/>
    <x v="2"/>
    <n v="5"/>
  </r>
  <r>
    <n v="1272"/>
    <s v="Ygor Farias"/>
    <x v="0"/>
    <d v="2025-11-14T00:00:00"/>
    <x v="261"/>
    <x v="1"/>
    <n v="15"/>
    <x v="2"/>
    <x v="0"/>
    <n v="30"/>
    <x v="0"/>
    <n v="20"/>
    <n v="20"/>
    <x v="0"/>
    <n v="45"/>
  </r>
  <r>
    <n v="1273"/>
    <s v="Zilda Barros"/>
    <x v="2"/>
    <d v="2025-11-15T00:00:00"/>
    <x v="262"/>
    <x v="0"/>
    <n v="10"/>
    <x v="2"/>
    <x v="1"/>
    <n v="0"/>
    <x v="0"/>
    <n v="20"/>
    <n v="12"/>
    <x v="4"/>
    <n v="18"/>
  </r>
  <r>
    <n v="1274"/>
    <s v="Amanda Santos"/>
    <x v="1"/>
    <d v="2025-11-16T00:00:00"/>
    <x v="263"/>
    <x v="1"/>
    <n v="5"/>
    <x v="0"/>
    <x v="1"/>
    <n v="0"/>
    <x v="1"/>
    <n v="0"/>
    <n v="2"/>
    <x v="4"/>
    <n v="3"/>
  </r>
  <r>
    <n v="1275"/>
    <s v="Bruno Costa"/>
    <x v="0"/>
    <d v="2025-11-17T00:00:00"/>
    <x v="264"/>
    <x v="0"/>
    <n v="15"/>
    <x v="1"/>
    <x v="0"/>
    <n v="30"/>
    <x v="0"/>
    <n v="20"/>
    <n v="5"/>
    <x v="0"/>
    <n v="60"/>
  </r>
  <r>
    <n v="1276"/>
    <s v="Carla Rodrigues"/>
    <x v="2"/>
    <d v="2025-11-18T00:00:00"/>
    <x v="265"/>
    <x v="1"/>
    <n v="10"/>
    <x v="0"/>
    <x v="1"/>
    <n v="0"/>
    <x v="0"/>
    <n v="20"/>
    <n v="10"/>
    <x v="4"/>
    <n v="20"/>
  </r>
  <r>
    <n v="1277"/>
    <s v="Diogo Pereira"/>
    <x v="1"/>
    <d v="2025-11-19T00:00:00"/>
    <x v="266"/>
    <x v="0"/>
    <n v="5"/>
    <x v="2"/>
    <x v="1"/>
    <n v="0"/>
    <x v="1"/>
    <n v="0"/>
    <n v="0"/>
    <x v="2"/>
    <n v="5"/>
  </r>
  <r>
    <n v="1278"/>
    <s v="Elisa Correia"/>
    <x v="0"/>
    <d v="2025-11-20T00:00:00"/>
    <x v="267"/>
    <x v="1"/>
    <n v="15"/>
    <x v="0"/>
    <x v="0"/>
    <n v="30"/>
    <x v="0"/>
    <n v="20"/>
    <n v="3"/>
    <x v="4"/>
    <n v="62"/>
  </r>
  <r>
    <n v="1279"/>
    <s v="Fábio Lourenço"/>
    <x v="2"/>
    <d v="2025-11-21T00:00:00"/>
    <x v="268"/>
    <x v="0"/>
    <n v="10"/>
    <x v="1"/>
    <x v="1"/>
    <n v="0"/>
    <x v="0"/>
    <n v="20"/>
    <n v="15"/>
    <x v="4"/>
    <n v="15"/>
  </r>
  <r>
    <n v="1280"/>
    <s v="Gabriela Neves"/>
    <x v="1"/>
    <d v="2025-11-22T00:00:00"/>
    <x v="269"/>
    <x v="1"/>
    <n v="5"/>
    <x v="0"/>
    <x v="1"/>
    <n v="0"/>
    <x v="1"/>
    <n v="0"/>
    <n v="1"/>
    <x v="3"/>
    <n v="4"/>
  </r>
  <r>
    <n v="1281"/>
    <s v="Henrique Gonçalves"/>
    <x v="0"/>
    <d v="2025-11-23T00:00:00"/>
    <x v="270"/>
    <x v="0"/>
    <n v="15"/>
    <x v="2"/>
    <x v="0"/>
    <n v="30"/>
    <x v="0"/>
    <n v="20"/>
    <n v="7"/>
    <x v="4"/>
    <n v="58"/>
  </r>
  <r>
    <n v="1282"/>
    <s v="Íris Santos"/>
    <x v="2"/>
    <d v="2025-11-24T00:00:00"/>
    <x v="271"/>
    <x v="1"/>
    <n v="10"/>
    <x v="0"/>
    <x v="1"/>
    <n v="0"/>
    <x v="0"/>
    <n v="20"/>
    <n v="10"/>
    <x v="3"/>
    <n v="20"/>
  </r>
  <r>
    <n v="1283"/>
    <s v="João Marcelo Alves"/>
    <x v="1"/>
    <d v="2025-11-25T00:00:00"/>
    <x v="272"/>
    <x v="0"/>
    <n v="5"/>
    <x v="1"/>
    <x v="1"/>
    <n v="0"/>
    <x v="1"/>
    <n v="0"/>
    <n v="0"/>
    <x v="1"/>
    <n v="5"/>
  </r>
  <r>
    <n v="1284"/>
    <s v="Klara Fonseca"/>
    <x v="0"/>
    <d v="2025-11-26T00:00:00"/>
    <x v="273"/>
    <x v="1"/>
    <n v="15"/>
    <x v="0"/>
    <x v="0"/>
    <n v="30"/>
    <x v="0"/>
    <n v="20"/>
    <n v="20"/>
    <x v="1"/>
    <n v="45"/>
  </r>
  <r>
    <n v="1285"/>
    <s v="Lucas Mendonça"/>
    <x v="2"/>
    <d v="2025-11-27T00:00:00"/>
    <x v="274"/>
    <x v="0"/>
    <n v="10"/>
    <x v="2"/>
    <x v="1"/>
    <n v="0"/>
    <x v="0"/>
    <n v="20"/>
    <n v="15"/>
    <x v="1"/>
    <n v="15"/>
  </r>
  <r>
    <n v="1286"/>
    <s v="Marcela Torres"/>
    <x v="1"/>
    <d v="2025-11-28T00:00:00"/>
    <x v="275"/>
    <x v="1"/>
    <n v="5"/>
    <x v="0"/>
    <x v="1"/>
    <n v="0"/>
    <x v="1"/>
    <n v="0"/>
    <n v="1"/>
    <x v="0"/>
    <n v="4"/>
  </r>
  <r>
    <n v="1287"/>
    <s v="Natália Castro"/>
    <x v="0"/>
    <d v="2025-11-29T00:00:00"/>
    <x v="276"/>
    <x v="0"/>
    <n v="15"/>
    <x v="1"/>
    <x v="0"/>
    <n v="30"/>
    <x v="0"/>
    <n v="20"/>
    <n v="3"/>
    <x v="3"/>
    <n v="62"/>
  </r>
  <r>
    <n v="1288"/>
    <s v="Oscar Martins"/>
    <x v="2"/>
    <d v="2025-11-30T00:00:00"/>
    <x v="277"/>
    <x v="1"/>
    <n v="10"/>
    <x v="0"/>
    <x v="1"/>
    <n v="0"/>
    <x v="0"/>
    <n v="20"/>
    <n v="10"/>
    <x v="1"/>
    <n v="20"/>
  </r>
  <r>
    <n v="1289"/>
    <s v="Patrícia Oliveira"/>
    <x v="1"/>
    <d v="2025-12-01T00:00:00"/>
    <x v="278"/>
    <x v="0"/>
    <n v="5"/>
    <x v="2"/>
    <x v="1"/>
    <n v="0"/>
    <x v="1"/>
    <n v="0"/>
    <n v="0"/>
    <x v="0"/>
    <n v="5"/>
  </r>
  <r>
    <n v="1290"/>
    <s v="Quentin Nogueira"/>
    <x v="0"/>
    <d v="2025-12-02T00:00:00"/>
    <x v="279"/>
    <x v="1"/>
    <n v="15"/>
    <x v="0"/>
    <x v="0"/>
    <n v="30"/>
    <x v="0"/>
    <n v="20"/>
    <n v="15"/>
    <x v="4"/>
    <n v="50"/>
  </r>
  <r>
    <n v="1291"/>
    <s v="Raquel Silva"/>
    <x v="2"/>
    <d v="2025-12-03T00:00:00"/>
    <x v="280"/>
    <x v="0"/>
    <n v="10"/>
    <x v="1"/>
    <x v="1"/>
    <n v="0"/>
    <x v="0"/>
    <n v="20"/>
    <n v="15"/>
    <x v="2"/>
    <n v="15"/>
  </r>
  <r>
    <n v="1292"/>
    <s v="Sandro Gomes"/>
    <x v="1"/>
    <d v="2025-12-04T00:00:00"/>
    <x v="281"/>
    <x v="1"/>
    <n v="5"/>
    <x v="0"/>
    <x v="1"/>
    <n v="0"/>
    <x v="1"/>
    <n v="0"/>
    <n v="1"/>
    <x v="1"/>
    <n v="4"/>
  </r>
  <r>
    <n v="1293"/>
    <s v="Tânia Machado"/>
    <x v="0"/>
    <d v="2025-12-05T00:00:00"/>
    <x v="282"/>
    <x v="0"/>
    <n v="15"/>
    <x v="2"/>
    <x v="0"/>
    <n v="30"/>
    <x v="0"/>
    <n v="20"/>
    <n v="7"/>
    <x v="3"/>
    <n v="58"/>
  </r>
  <r>
    <n v="1294"/>
    <s v="Ursula Silva"/>
    <x v="2"/>
    <d v="2025-12-06T00:00:00"/>
    <x v="283"/>
    <x v="1"/>
    <n v="10"/>
    <x v="0"/>
    <x v="1"/>
    <n v="0"/>
    <x v="0"/>
    <n v="20"/>
    <n v="10"/>
    <x v="0"/>
    <n v="20"/>
  </r>
  <r>
    <n v="1295"/>
    <s v="Vanessa Moraes"/>
    <x v="1"/>
    <d v="2025-12-07T00:00:00"/>
    <x v="284"/>
    <x v="0"/>
    <n v="5"/>
    <x v="1"/>
    <x v="1"/>
    <n v="0"/>
    <x v="1"/>
    <n v="0"/>
    <n v="0"/>
    <x v="0"/>
    <n v="5"/>
  </r>
  <r>
    <n v="1296"/>
    <s v="William Carvalho"/>
    <x v="0"/>
    <d v="2025-12-08T00:00:00"/>
    <x v="285"/>
    <x v="1"/>
    <n v="15"/>
    <x v="0"/>
    <x v="0"/>
    <n v="30"/>
    <x v="0"/>
    <n v="20"/>
    <n v="20"/>
    <x v="2"/>
    <n v="45"/>
  </r>
  <r>
    <n v="1297"/>
    <s v="Xavier Reis"/>
    <x v="2"/>
    <d v="2025-12-09T00:00:00"/>
    <x v="286"/>
    <x v="0"/>
    <n v="10"/>
    <x v="2"/>
    <x v="1"/>
    <n v="0"/>
    <x v="0"/>
    <n v="20"/>
    <n v="12"/>
    <x v="1"/>
    <n v="18"/>
  </r>
  <r>
    <n v="1298"/>
    <s v="Yasmin Rocha"/>
    <x v="1"/>
    <d v="2025-12-10T00:00:00"/>
    <x v="287"/>
    <x v="1"/>
    <n v="5"/>
    <x v="0"/>
    <x v="1"/>
    <n v="0"/>
    <x v="1"/>
    <n v="0"/>
    <n v="2"/>
    <x v="0"/>
    <n v="3"/>
  </r>
  <r>
    <n v="1299"/>
    <s v="Zacarias Duarte"/>
    <x v="0"/>
    <d v="2025-12-11T00:00:00"/>
    <x v="288"/>
    <x v="0"/>
    <n v="15"/>
    <x v="1"/>
    <x v="0"/>
    <n v="30"/>
    <x v="0"/>
    <n v="20"/>
    <n v="5"/>
    <x v="4"/>
    <n v="60"/>
  </r>
  <r>
    <n v="1300"/>
    <s v="Amanda Freitas"/>
    <x v="2"/>
    <d v="2025-12-12T00:00:00"/>
    <x v="289"/>
    <x v="1"/>
    <n v="10"/>
    <x v="0"/>
    <x v="1"/>
    <n v="0"/>
    <x v="0"/>
    <n v="20"/>
    <n v="10"/>
    <x v="4"/>
    <n v="20"/>
  </r>
  <r>
    <n v="1301"/>
    <s v="Bruno Almeida"/>
    <x v="1"/>
    <d v="2025-12-13T00:00:00"/>
    <x v="290"/>
    <x v="0"/>
    <n v="5"/>
    <x v="2"/>
    <x v="1"/>
    <n v="0"/>
    <x v="1"/>
    <n v="0"/>
    <n v="0"/>
    <x v="4"/>
    <n v="5"/>
  </r>
  <r>
    <n v="1302"/>
    <s v="Carla Siqueira"/>
    <x v="0"/>
    <d v="2025-12-14T00:00:00"/>
    <x v="291"/>
    <x v="1"/>
    <n v="15"/>
    <x v="0"/>
    <x v="0"/>
    <n v="30"/>
    <x v="0"/>
    <n v="20"/>
    <n v="3"/>
    <x v="0"/>
    <n v="62"/>
  </r>
  <r>
    <n v="1303"/>
    <s v="Diogo Ramos"/>
    <x v="2"/>
    <d v="2025-12-15T00:00:00"/>
    <x v="292"/>
    <x v="0"/>
    <n v="10"/>
    <x v="1"/>
    <x v="1"/>
    <n v="0"/>
    <x v="0"/>
    <n v="20"/>
    <n v="15"/>
    <x v="3"/>
    <n v="15"/>
  </r>
  <r>
    <n v="1304"/>
    <s v="Elisa Magalhães"/>
    <x v="1"/>
    <d v="2025-12-16T00:00:00"/>
    <x v="293"/>
    <x v="1"/>
    <n v="5"/>
    <x v="0"/>
    <x v="1"/>
    <n v="0"/>
    <x v="1"/>
    <n v="0"/>
    <n v="1"/>
    <x v="0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44BE48-7E60-4411-98BE-FD70F0CC6C95}" name="Tabela dinâmica1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J19:K23" firstHeaderRow="1" firstDataRow="1" firstDataCol="1"/>
  <pivotFields count="17">
    <pivotField dataField="1" showAll="0"/>
    <pivotField showAll="0"/>
    <pivotField multipleItemSelectionAllowed="1" showAll="0">
      <items count="4">
        <item x="1"/>
        <item x="2"/>
        <item x="0"/>
        <item t="default"/>
      </items>
    </pivotField>
    <pivotField numFmtId="14" showAll="0"/>
    <pivotField numFmtId="16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Row" multipleItemSelectionAllowed="1" showAll="0">
      <items count="4">
        <item x="1"/>
        <item x="0"/>
        <item x="2"/>
        <item t="default"/>
      </items>
    </pivotField>
    <pivotField showAll="0"/>
    <pivotField numFmtId="44" showAll="0"/>
    <pivotField showAll="0"/>
    <pivotField numFmtId="44" showAll="0"/>
    <pivotField numFmtId="44" showAll="0"/>
    <pivotField showAll="0"/>
    <pivotField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Subscriber ID" fld="0" subtotal="count" baseField="5" baseItem="1"/>
  </dataFields>
  <chartFormats count="4">
    <chartFormat chart="1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2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2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802289-F633-4CBE-907D-1C284A45E6AE}" name="Tabela dinâmica8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F26:G32" firstHeaderRow="1" firstDataRow="1" firstDataCol="1" rowPageCount="1" colPageCount="1"/>
  <pivotFields count="17">
    <pivotField showAll="0"/>
    <pivotField showAll="0"/>
    <pivotField showAll="0"/>
    <pivotField numFmtId="14" showAll="0"/>
    <pivotField numFmtId="16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numFmtId="44" showAll="0"/>
    <pivotField showAll="0"/>
    <pivotField numFmtId="44" showAll="0"/>
    <pivotField numFmtId="44" showAll="0"/>
    <pivotField axis="axisRow" showAll="0">
      <items count="6">
        <item x="1"/>
        <item x="0"/>
        <item x="3"/>
        <item x="2"/>
        <item x="4"/>
        <item t="default"/>
      </items>
    </pivotField>
    <pivotField dataField="1"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7" hier="-1"/>
  </pageFields>
  <dataFields count="1">
    <dataField name="Soma de Total Value" fld="14" baseField="0" baseItem="0" numFmtId="44"/>
  </dataFields>
  <chartFormats count="1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D19F-50B8-4BD2-B52D-03980BE7F157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29:C33" firstHeaderRow="1" firstDataRow="1" firstDataCol="1" rowPageCount="1" colPageCount="1"/>
  <pivotFields count="17">
    <pivotField dataField="1" showAll="0"/>
    <pivotField showAll="0"/>
    <pivotField axis="axisRow" multipleItemSelectionAllowed="1" showAll="0">
      <items count="4">
        <item x="1"/>
        <item x="2"/>
        <item x="0"/>
        <item t="default"/>
      </items>
    </pivotField>
    <pivotField numFmtId="14" showAll="0"/>
    <pivotField numFmtId="16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numFmtId="44" showAll="0"/>
    <pivotField showAll="0"/>
    <pivotField numFmtId="44" showAll="0"/>
    <pivotField numFmtId="44" showAll="0"/>
    <pivotField showAll="0"/>
    <pivotField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7" hier="-1"/>
  </pageFields>
  <dataFields count="1">
    <dataField name="Contagem de Subscriber ID" fld="0" subtotal="count" baseField="7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47A645-B205-40DB-91BA-7FE9CA530229}" name="Tabela dinâ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F12:H15" firstHeaderRow="0" firstDataRow="1" firstDataCol="1" rowPageCount="1" colPageCount="1"/>
  <pivotFields count="17">
    <pivotField showAll="0"/>
    <pivotField showAll="0"/>
    <pivotField showAll="0"/>
    <pivotField numFmtId="14" showAll="0"/>
    <pivotField numFmtId="16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numFmtId="44" showAll="0"/>
    <pivotField showAll="0"/>
    <pivotField numFmtId="44" showAll="0"/>
    <pivotField dataField="1" numFmtId="44" showAll="0"/>
    <pivotField showAll="0"/>
    <pivotField dataField="1"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pageFields count="1">
    <pageField fld="7" hier="-1"/>
  </pageFields>
  <dataFields count="2">
    <dataField name="Soma de Total Value" fld="14" baseField="0" baseItem="0" numFmtId="44"/>
    <dataField name="Soma de Coupon Value" fld="12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C976B7-8B80-462E-BECB-5A39240E67DD}" name="Tabela dinâmica1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0">
  <location ref="M17:N20" firstHeaderRow="1" firstDataRow="1" firstDataCol="1" rowPageCount="1" colPageCount="1"/>
  <pivotFields count="17">
    <pivotField dataField="1" showAll="0"/>
    <pivotField showAll="0"/>
    <pivotField showAll="0"/>
    <pivotField numFmtId="14" showAll="0"/>
    <pivotField numFmtId="16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Row" showAll="0">
      <items count="3">
        <item x="1"/>
        <item x="0"/>
        <item t="default"/>
      </items>
    </pivotField>
    <pivotField numFmtId="44" showAll="0"/>
    <pivotField numFmtId="44" showAll="0"/>
    <pivotField showAll="0"/>
    <pivotField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0"/>
  </rowFields>
  <rowItems count="3">
    <i>
      <x/>
    </i>
    <i>
      <x v="1"/>
    </i>
    <i t="grand">
      <x/>
    </i>
  </rowItems>
  <colItems count="1">
    <i/>
  </colItems>
  <pageFields count="1">
    <pageField fld="7" hier="-1"/>
  </pageFields>
  <dataFields count="1">
    <dataField name="Contagem de Subscriber ID" fld="0" subtotal="count" baseField="5" baseItem="1"/>
  </dataFields>
  <chartFormats count="5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9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D78C93-C337-4B36-8BE9-17A828A19406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5">
  <location ref="B12:C25" firstHeaderRow="1" firstDataRow="1" firstDataCol="1" rowPageCount="1" colPageCount="1"/>
  <pivotFields count="17">
    <pivotField showAll="0"/>
    <pivotField showAll="0"/>
    <pivotField showAll="0"/>
    <pivotField numFmtId="14" showAll="0"/>
    <pivotField axis="axisRow" numFmtId="16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numFmtId="44" showAll="0"/>
    <pivotField showAll="0"/>
    <pivotField numFmtId="44" showAll="0"/>
    <pivotField numFmtId="44" showAll="0"/>
    <pivotField showAll="0"/>
    <pivotField dataField="1" numFmtId="44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6"/>
    <field x="15"/>
    <field x="4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1">
    <pageField fld="7" hier="-1"/>
  </pageFields>
  <dataFields count="1">
    <dataField name="Soma de Total Value" fld="14" baseField="0" baseItem="0" numFmtId="44"/>
  </dataFields>
  <chartFormats count="1"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B6DF42-026A-48BE-8E20-3B0D74982B4E}" name="Tabela dinâmica10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>
  <location ref="J7:K11" firstHeaderRow="1" firstDataRow="1" firstDataCol="1" rowPageCount="1" colPageCount="1"/>
  <pivotFields count="17">
    <pivotField showAll="0"/>
    <pivotField showAll="0"/>
    <pivotField axis="axisRow" multipleItemSelectionAllowed="1" showAll="0">
      <items count="4">
        <item x="1"/>
        <item x="2"/>
        <item x="0"/>
        <item t="default"/>
      </items>
    </pivotField>
    <pivotField numFmtId="14" showAll="0"/>
    <pivotField numFmtId="16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numFmtId="44" showAll="0"/>
    <pivotField showAll="0"/>
    <pivotField numFmtId="44" showAll="0"/>
    <pivotField numFmtId="44" showAll="0"/>
    <pivotField showAll="0"/>
    <pivotField dataField="1"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7" hier="-1"/>
  </pageFields>
  <dataFields count="1">
    <dataField name="Soma de Total Value" fld="14" baseField="0" baseItem="0" numFmtId="44"/>
  </dataFields>
  <chartFormats count="4">
    <chartFormat chart="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9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5BA7D4-29E8-4A84-A95F-C5299270572E}" name="Tabela dinâmica1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M5:N8" firstHeaderRow="1" firstDataRow="1" firstDataCol="1" rowPageCount="1" colPageCount="1"/>
  <pivotFields count="17">
    <pivotField dataField="1" showAll="0"/>
    <pivotField showAll="0"/>
    <pivotField showAll="0"/>
    <pivotField numFmtId="14" showAll="0"/>
    <pivotField numFmtId="16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axis="axisRow" showAll="0">
      <items count="3">
        <item x="1"/>
        <item x="0"/>
        <item t="default"/>
      </items>
    </pivotField>
    <pivotField numFmtId="44" showAll="0"/>
    <pivotField showAll="0"/>
    <pivotField numFmtId="44" showAll="0"/>
    <pivotField numFmtId="44" showAll="0"/>
    <pivotField showAll="0"/>
    <pivotField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8"/>
  </rowFields>
  <rowItems count="3">
    <i>
      <x/>
    </i>
    <i>
      <x v="1"/>
    </i>
    <i t="grand">
      <x/>
    </i>
  </rowItems>
  <colItems count="1">
    <i/>
  </colItems>
  <pageFields count="1">
    <pageField fld="7" hier="-1"/>
  </pageFields>
  <dataFields count="1">
    <dataField name="Contagem de Subscriber ID" fld="0" subtotal="count" baseField="5" baseItem="1"/>
  </dataFields>
  <chartFormats count="3"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2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272748-C2A4-453F-BF6F-69A0C4B8F67D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5:C8" firstHeaderRow="1" firstDataRow="1" firstDataCol="1" rowPageCount="1" colPageCount="1"/>
  <pivotFields count="17">
    <pivotField dataField="1" showAll="0"/>
    <pivotField showAll="0"/>
    <pivotField showAll="0"/>
    <pivotField numFmtId="14" showAll="0"/>
    <pivotField numFmtId="16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numFmtId="44" showAll="0"/>
    <pivotField showAll="0"/>
    <pivotField numFmtId="44" showAll="0"/>
    <pivotField numFmtId="44" showAll="0"/>
    <pivotField showAll="0"/>
    <pivotField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3">
    <i>
      <x/>
    </i>
    <i>
      <x v="1"/>
    </i>
    <i t="grand">
      <x/>
    </i>
  </rowItems>
  <colItems count="1">
    <i/>
  </colItems>
  <pageFields count="1">
    <pageField fld="7" hier="-1"/>
  </pageFields>
  <dataFields count="1">
    <dataField name="Contagem de Subscriber ID" fld="0" subtotal="count" baseField="5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FB9031-056A-4E4B-ABD0-D96F8F35B9F3}" name="Tabela dinâ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F5:G9" firstHeaderRow="1" firstDataRow="1" firstDataCol="1"/>
  <pivotFields count="17">
    <pivotField dataField="1" showAll="0"/>
    <pivotField showAll="0"/>
    <pivotField showAll="0"/>
    <pivotField numFmtId="14" showAll="0"/>
    <pivotField numFmtId="16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Row" multipleItemSelectionAllowed="1" showAll="0">
      <items count="4">
        <item x="1"/>
        <item x="0"/>
        <item x="2"/>
        <item t="default"/>
      </items>
    </pivotField>
    <pivotField showAll="0"/>
    <pivotField numFmtId="44" showAll="0"/>
    <pivotField showAll="0"/>
    <pivotField numFmtId="44" showAll="0"/>
    <pivotField numFmtId="44" showAll="0"/>
    <pivotField showAll="0"/>
    <pivotField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Subscriber ID" fld="0" subtotal="count" baseField="5" baseItem="1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3CDEFDC-1F1D-4183-918D-C97D73F0D2B2}" sourceName="Subscription Type">
  <pivotTables>
    <pivotTable tabId="3" name="Tabela dinâmica1"/>
    <pivotTable tabId="3" name="Tabela dinâmica2"/>
    <pivotTable tabId="3" name="Tabela dinâmica3"/>
    <pivotTable tabId="3" name="Tabela dinâmica5"/>
    <pivotTable tabId="3" name="Tabela dinâmica6"/>
    <pivotTable tabId="3" name="Tabela dinâmica8"/>
    <pivotTable tabId="3" name="Tabela dinâmica10"/>
    <pivotTable tabId="3" name="Tabela dinâmica11"/>
    <pivotTable tabId="3" name="Tabela dinâmica12"/>
    <pivotTable tabId="3" name="Tabela dinâmica13"/>
  </pivotTables>
  <data>
    <tabular pivotCacheId="268512689">
      <items count="3">
        <i x="1" s="1"/>
        <i x="0" s="1"/>
        <i x="2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6B5925BA-0441-443F-8B21-58C70C03A906}" cache="SegmentaçãodeDados_Subscription_Type" style="SlicerStyleDark6 2" rowHeight="1692000"/>
</slicer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C7FB1-7834-47F7-95FB-911DDA88DEE4}">
  <sheetPr>
    <tabColor theme="6" tint="0.79998168889431442"/>
  </sheetPr>
  <dimension ref="A1:AA60"/>
  <sheetViews>
    <sheetView showGridLines="0" workbookViewId="0">
      <selection activeCell="E27" sqref="E27"/>
    </sheetView>
  </sheetViews>
  <sheetFormatPr defaultRowHeight="15" x14ac:dyDescent="0.25"/>
  <cols>
    <col min="1" max="1" width="4.140625" customWidth="1"/>
    <col min="3" max="3" width="6.5703125" customWidth="1"/>
  </cols>
  <sheetData>
    <row r="1" spans="1:2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9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24" x14ac:dyDescent="0.4">
      <c r="A3" s="1"/>
      <c r="B3" s="2" t="s">
        <v>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8.75" x14ac:dyDescent="0.3">
      <c r="A4" s="1"/>
      <c r="B4" s="1"/>
      <c r="C4" s="3" t="s">
        <v>20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20.25" thickBot="1" x14ac:dyDescent="0.35">
      <c r="A5" s="1"/>
      <c r="B5" s="1"/>
      <c r="C5" s="1"/>
      <c r="D5" s="1"/>
      <c r="E5" s="1"/>
      <c r="F5" s="1"/>
      <c r="G5" s="1"/>
      <c r="H5" s="4" t="s">
        <v>21</v>
      </c>
      <c r="I5" s="4"/>
      <c r="J5" s="4"/>
      <c r="K5" s="4"/>
      <c r="L5" s="4"/>
      <c r="M5" s="4"/>
      <c r="N5" s="4"/>
      <c r="P5" s="4" t="s">
        <v>22</v>
      </c>
      <c r="Q5" s="4"/>
      <c r="R5" s="4"/>
      <c r="S5" s="4"/>
      <c r="T5" s="4"/>
      <c r="U5" s="4"/>
      <c r="V5" s="4"/>
      <c r="W5" s="1"/>
      <c r="X5" s="1"/>
      <c r="Y5" s="1"/>
      <c r="Z5" s="1"/>
      <c r="AA5" s="1"/>
    </row>
    <row r="6" spans="1:27" ht="15.75" thickTop="1" x14ac:dyDescent="0.25">
      <c r="A6" s="1"/>
      <c r="B6" s="1"/>
      <c r="C6" s="1"/>
      <c r="D6" s="1" t="s">
        <v>1</v>
      </c>
      <c r="E6" s="1"/>
      <c r="F6" s="1"/>
      <c r="G6" s="1"/>
      <c r="H6" s="5"/>
      <c r="I6" s="5"/>
      <c r="J6" s="5"/>
      <c r="K6" s="5"/>
      <c r="L6" s="5"/>
      <c r="M6" s="5"/>
      <c r="N6" s="5"/>
      <c r="W6" s="1"/>
      <c r="X6" s="1"/>
      <c r="Y6" s="1"/>
      <c r="Z6" s="1"/>
      <c r="AA6" s="1"/>
    </row>
    <row r="7" spans="1:27" x14ac:dyDescent="0.25">
      <c r="A7" s="1"/>
      <c r="B7" s="1"/>
      <c r="C7" s="1"/>
      <c r="D7" s="1" t="s">
        <v>2</v>
      </c>
      <c r="E7" s="1"/>
      <c r="F7" s="1"/>
      <c r="G7" s="1"/>
      <c r="H7" s="5"/>
      <c r="I7" s="5"/>
      <c r="J7" s="5"/>
      <c r="K7" s="5"/>
      <c r="L7" s="5"/>
      <c r="M7" s="5"/>
      <c r="N7" s="5"/>
      <c r="W7" s="1"/>
      <c r="X7" s="1"/>
      <c r="Y7" s="1"/>
      <c r="Z7" s="1"/>
      <c r="AA7" s="1"/>
    </row>
    <row r="8" spans="1:27" x14ac:dyDescent="0.25">
      <c r="A8" s="1"/>
      <c r="B8" s="1"/>
      <c r="C8" s="1"/>
      <c r="D8" s="1"/>
      <c r="E8" s="1"/>
      <c r="F8" s="1"/>
      <c r="G8" s="1"/>
      <c r="H8" s="5"/>
      <c r="I8" s="5"/>
      <c r="J8" s="5"/>
      <c r="K8" s="5"/>
      <c r="L8" s="5"/>
      <c r="M8" s="5"/>
      <c r="N8" s="5"/>
      <c r="W8" s="1"/>
      <c r="X8" s="1"/>
      <c r="Y8" s="1"/>
      <c r="Z8" s="1"/>
      <c r="AA8" s="1"/>
    </row>
    <row r="9" spans="1:27" x14ac:dyDescent="0.25">
      <c r="A9" s="1"/>
      <c r="B9" s="1"/>
      <c r="C9" s="1"/>
      <c r="D9" s="1" t="s">
        <v>3</v>
      </c>
      <c r="E9" s="1"/>
      <c r="F9" s="1"/>
      <c r="G9" s="1"/>
      <c r="H9" s="5"/>
      <c r="I9" s="5"/>
      <c r="J9" s="5"/>
      <c r="K9" s="5"/>
      <c r="L9" s="5"/>
      <c r="M9" s="5"/>
      <c r="N9" s="5"/>
      <c r="W9" s="1"/>
      <c r="X9" s="1"/>
      <c r="Y9" s="1"/>
      <c r="Z9" s="1"/>
      <c r="AA9" s="1"/>
    </row>
    <row r="10" spans="1:27" x14ac:dyDescent="0.25">
      <c r="A10" s="1"/>
      <c r="B10" s="1"/>
      <c r="C10" s="1"/>
      <c r="D10" s="1" t="s">
        <v>4</v>
      </c>
      <c r="E10" s="1"/>
      <c r="F10" s="1"/>
      <c r="G10" s="1"/>
      <c r="H10" s="5"/>
      <c r="I10" s="5"/>
      <c r="J10" s="5"/>
      <c r="K10" s="5"/>
      <c r="L10" s="5"/>
      <c r="M10" s="5"/>
      <c r="N10" s="5"/>
      <c r="W10" s="1"/>
      <c r="X10" s="1"/>
      <c r="Y10" s="1"/>
      <c r="Z10" s="1"/>
      <c r="AA10" s="1"/>
    </row>
    <row r="11" spans="1:27" x14ac:dyDescent="0.25">
      <c r="A11" s="1"/>
      <c r="B11" s="1"/>
      <c r="C11" s="1"/>
      <c r="D11" s="1"/>
      <c r="E11" s="1"/>
      <c r="F11" s="1"/>
      <c r="G11" s="1"/>
      <c r="H11" s="5"/>
      <c r="I11" s="5"/>
      <c r="J11" s="5"/>
      <c r="K11" s="5"/>
      <c r="L11" s="5"/>
      <c r="M11" s="5"/>
      <c r="N11" s="5"/>
      <c r="W11" s="1"/>
      <c r="X11" s="1"/>
      <c r="Y11" s="1"/>
      <c r="Z11" s="1"/>
      <c r="AA11" s="1"/>
    </row>
    <row r="12" spans="1:27" x14ac:dyDescent="0.25">
      <c r="A12" s="1"/>
      <c r="B12" s="1"/>
      <c r="C12" s="1"/>
      <c r="D12" s="1" t="s">
        <v>5</v>
      </c>
      <c r="E12" s="1"/>
      <c r="F12" s="1"/>
      <c r="G12" s="1"/>
      <c r="H12" s="5"/>
      <c r="I12" s="5"/>
      <c r="J12" s="5"/>
      <c r="K12" s="5"/>
      <c r="L12" s="5"/>
      <c r="M12" s="5"/>
      <c r="N12" s="5"/>
      <c r="W12" s="1"/>
      <c r="X12" s="1"/>
      <c r="Y12" s="1"/>
      <c r="Z12" s="1"/>
      <c r="AA12" s="1"/>
    </row>
    <row r="13" spans="1:27" x14ac:dyDescent="0.25">
      <c r="A13" s="1"/>
      <c r="B13" s="1"/>
      <c r="C13" s="1"/>
      <c r="D13" s="1" t="s">
        <v>6</v>
      </c>
      <c r="E13" s="1"/>
      <c r="F13" s="1"/>
      <c r="G13" s="1"/>
      <c r="H13" s="5"/>
      <c r="I13" s="5"/>
      <c r="J13" s="5"/>
      <c r="K13" s="5"/>
      <c r="L13" s="5"/>
      <c r="M13" s="5"/>
      <c r="N13" s="5"/>
      <c r="W13" s="1"/>
      <c r="X13" s="1"/>
      <c r="Y13" s="1"/>
      <c r="Z13" s="1"/>
      <c r="AA13" s="1"/>
    </row>
    <row r="14" spans="1:27" x14ac:dyDescent="0.25">
      <c r="A14" s="1"/>
      <c r="B14" s="1"/>
      <c r="C14" s="1"/>
      <c r="D14" s="1"/>
      <c r="E14" s="1"/>
      <c r="F14" s="1"/>
      <c r="G14" s="1"/>
      <c r="H14" s="5"/>
      <c r="I14" s="5"/>
      <c r="J14" s="5"/>
      <c r="K14" s="5"/>
      <c r="L14" s="5"/>
      <c r="M14" s="5"/>
      <c r="N14" s="5"/>
      <c r="W14" s="1"/>
      <c r="X14" s="1"/>
      <c r="Y14" s="1"/>
      <c r="Z14" s="1"/>
      <c r="AA14" s="1"/>
    </row>
    <row r="15" spans="1:27" x14ac:dyDescent="0.25">
      <c r="A15" s="1"/>
      <c r="B15" s="1"/>
      <c r="C15" s="1"/>
      <c r="D15" s="1" t="s">
        <v>7</v>
      </c>
      <c r="E15" s="1"/>
      <c r="F15" s="1"/>
      <c r="G15" s="1"/>
      <c r="W15" s="1"/>
      <c r="X15" s="1"/>
      <c r="Y15" s="1"/>
      <c r="Z15" s="1"/>
      <c r="AA15" s="1"/>
    </row>
    <row r="16" spans="1:27" x14ac:dyDescent="0.25">
      <c r="A16" s="1"/>
      <c r="B16" s="1"/>
      <c r="C16" s="1"/>
      <c r="D16" s="1" t="s">
        <v>8</v>
      </c>
      <c r="E16" s="1"/>
      <c r="F16" s="1"/>
      <c r="G16" s="1"/>
      <c r="W16" s="1"/>
      <c r="X16" s="1"/>
      <c r="Y16" s="1"/>
      <c r="Z16" s="1"/>
      <c r="AA16" s="1"/>
    </row>
    <row r="17" spans="1:27" x14ac:dyDescent="0.25">
      <c r="A17" s="1"/>
      <c r="B17" s="1"/>
      <c r="C17" s="1"/>
      <c r="D17" s="1"/>
      <c r="E17" s="1"/>
      <c r="F17" s="1"/>
      <c r="G17" s="1"/>
      <c r="W17" s="1"/>
      <c r="X17" s="1"/>
      <c r="Y17" s="1"/>
      <c r="Z17" s="1"/>
      <c r="AA17" s="1"/>
    </row>
    <row r="18" spans="1:27" x14ac:dyDescent="0.25">
      <c r="A18" s="1"/>
      <c r="B18" s="1"/>
      <c r="C18" s="1"/>
      <c r="D18" s="1" t="s">
        <v>9</v>
      </c>
      <c r="E18" s="1"/>
      <c r="F18" s="1"/>
      <c r="G18" s="1"/>
      <c r="W18" s="1"/>
      <c r="X18" s="1"/>
      <c r="Y18" s="1"/>
      <c r="Z18" s="1"/>
      <c r="AA18" s="1"/>
    </row>
    <row r="19" spans="1:27" x14ac:dyDescent="0.25">
      <c r="A19" s="1"/>
      <c r="B19" s="1"/>
      <c r="C19" s="1"/>
      <c r="D19" s="1" t="s">
        <v>10</v>
      </c>
      <c r="E19" s="1"/>
      <c r="F19" s="1"/>
      <c r="G19" s="1"/>
      <c r="W19" s="1"/>
      <c r="X19" s="1"/>
      <c r="Y19" s="1"/>
      <c r="Z19" s="1"/>
      <c r="AA19" s="1"/>
    </row>
    <row r="20" spans="1:27" x14ac:dyDescent="0.25">
      <c r="A20" s="1"/>
      <c r="B20" s="1"/>
      <c r="C20" s="1"/>
      <c r="D20" s="1"/>
      <c r="E20" s="1"/>
      <c r="F20" s="1"/>
      <c r="G20" s="1"/>
      <c r="W20" s="1"/>
      <c r="X20" s="1"/>
      <c r="Y20" s="1"/>
      <c r="Z20" s="1"/>
      <c r="AA20" s="1"/>
    </row>
    <row r="21" spans="1:27" x14ac:dyDescent="0.25">
      <c r="A21" s="1"/>
      <c r="B21" s="1"/>
      <c r="C21" s="1"/>
      <c r="D21" s="1" t="s">
        <v>11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x14ac:dyDescent="0.25">
      <c r="A22" s="1"/>
      <c r="B22" s="1"/>
      <c r="C22" s="1"/>
      <c r="D22" s="1" t="s">
        <v>12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x14ac:dyDescent="0.25">
      <c r="A24" s="1"/>
      <c r="B24" s="1"/>
      <c r="C24" s="1"/>
      <c r="D24" s="1" t="s">
        <v>13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x14ac:dyDescent="0.25">
      <c r="A25" s="1"/>
      <c r="B25" s="1"/>
      <c r="C25" s="1"/>
      <c r="D25" s="1" t="s">
        <v>14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x14ac:dyDescent="0.25">
      <c r="A27" s="1"/>
      <c r="B27" s="1"/>
      <c r="C27" s="1"/>
      <c r="D27" s="1" t="s">
        <v>15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x14ac:dyDescent="0.25">
      <c r="A28" s="1"/>
      <c r="B28" s="1"/>
      <c r="C28" s="1"/>
      <c r="D28" s="1" t="s">
        <v>16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3.5" customHeight="1" x14ac:dyDescent="0.25">
      <c r="A32" s="1"/>
      <c r="B32" s="1" t="s">
        <v>19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9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x14ac:dyDescent="0.25">
      <c r="A34" s="1"/>
      <c r="B34" s="1" t="s">
        <v>17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8.2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x14ac:dyDescent="0.25">
      <c r="A36" s="1"/>
      <c r="B36" s="1" t="s">
        <v>18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48BA6-451D-4F8E-B928-E953D348B40E}">
  <sheetPr>
    <tabColor theme="6" tint="0.59999389629810485"/>
  </sheetPr>
  <dimension ref="A1:P296"/>
  <sheetViews>
    <sheetView workbookViewId="0">
      <selection activeCell="L20" sqref="L20"/>
    </sheetView>
  </sheetViews>
  <sheetFormatPr defaultColWidth="9" defaultRowHeight="15" x14ac:dyDescent="0.25"/>
  <cols>
    <col min="1" max="1" width="16.42578125" customWidth="1"/>
    <col min="2" max="2" width="24.5703125" customWidth="1"/>
    <col min="3" max="3" width="16.140625" customWidth="1"/>
    <col min="4" max="4" width="15.28515625" customWidth="1"/>
    <col min="5" max="5" width="17.85546875" customWidth="1"/>
    <col min="6" max="6" width="13.140625" customWidth="1"/>
    <col min="7" max="7" width="16.42578125" customWidth="1"/>
    <col min="8" max="8" width="14.85546875" customWidth="1"/>
    <col min="9" max="9" width="13" customWidth="1"/>
    <col min="10" max="10" width="14" customWidth="1"/>
    <col min="11" max="11" width="17.5703125" customWidth="1"/>
    <col min="12" max="13" width="17.42578125" customWidth="1"/>
    <col min="14" max="14" width="15" customWidth="1"/>
    <col min="15" max="15" width="12" bestFit="1" customWidth="1"/>
    <col min="16" max="16" width="15.42578125" customWidth="1"/>
  </cols>
  <sheetData>
    <row r="1" spans="1:16" ht="45" x14ac:dyDescent="0.25">
      <c r="A1" s="6" t="s">
        <v>23</v>
      </c>
      <c r="B1" s="7" t="s">
        <v>24</v>
      </c>
      <c r="C1" s="7" t="s">
        <v>25</v>
      </c>
      <c r="D1" s="7" t="s">
        <v>26</v>
      </c>
      <c r="E1" s="7" t="s">
        <v>27</v>
      </c>
      <c r="F1" s="7" t="s">
        <v>28</v>
      </c>
      <c r="G1" s="7" t="s">
        <v>29</v>
      </c>
      <c r="H1" s="7" t="s">
        <v>30</v>
      </c>
      <c r="I1" s="7" t="s">
        <v>31</v>
      </c>
      <c r="J1" s="7" t="s">
        <v>32</v>
      </c>
      <c r="K1" s="7" t="s">
        <v>33</v>
      </c>
      <c r="L1" s="7" t="s">
        <v>34</v>
      </c>
      <c r="M1" s="7" t="s">
        <v>348</v>
      </c>
      <c r="N1" s="7" t="s">
        <v>35</v>
      </c>
      <c r="O1" s="7" t="s">
        <v>36</v>
      </c>
      <c r="P1" s="8" t="s">
        <v>37</v>
      </c>
    </row>
    <row r="2" spans="1:16" x14ac:dyDescent="0.25">
      <c r="A2" s="9">
        <v>1010</v>
      </c>
      <c r="B2" s="10" t="s">
        <v>38</v>
      </c>
      <c r="C2" s="10" t="s">
        <v>39</v>
      </c>
      <c r="D2" s="11">
        <v>45658</v>
      </c>
      <c r="E2" s="12">
        <v>45658</v>
      </c>
      <c r="F2" s="13" t="s">
        <v>40</v>
      </c>
      <c r="G2" s="14">
        <v>15</v>
      </c>
      <c r="H2" s="13" t="s">
        <v>41</v>
      </c>
      <c r="I2" s="13" t="s">
        <v>40</v>
      </c>
      <c r="J2" s="14">
        <v>30</v>
      </c>
      <c r="K2" s="13" t="s">
        <v>40</v>
      </c>
      <c r="L2" s="14">
        <v>20</v>
      </c>
      <c r="M2" s="14">
        <f>G2+J2+L2</f>
        <v>65</v>
      </c>
      <c r="N2" s="14">
        <v>5</v>
      </c>
      <c r="O2" s="10" t="s">
        <v>42</v>
      </c>
      <c r="P2" s="15">
        <f>G2+J2+L2-N2</f>
        <v>60</v>
      </c>
    </row>
    <row r="3" spans="1:16" x14ac:dyDescent="0.25">
      <c r="A3" s="10">
        <v>1011</v>
      </c>
      <c r="B3" s="10" t="s">
        <v>43</v>
      </c>
      <c r="C3" s="10" t="s">
        <v>44</v>
      </c>
      <c r="D3" s="11">
        <v>45672</v>
      </c>
      <c r="E3" s="12">
        <v>45672</v>
      </c>
      <c r="F3" s="13" t="s">
        <v>45</v>
      </c>
      <c r="G3" s="14">
        <v>5</v>
      </c>
      <c r="H3" s="13" t="s">
        <v>46</v>
      </c>
      <c r="I3" s="13" t="s">
        <v>45</v>
      </c>
      <c r="J3" s="14">
        <v>0</v>
      </c>
      <c r="K3" s="13" t="s">
        <v>45</v>
      </c>
      <c r="L3" s="14">
        <v>0</v>
      </c>
      <c r="M3" s="14">
        <f t="shared" ref="M3:M66" si="0">G3+J3+L3</f>
        <v>5</v>
      </c>
      <c r="N3" s="14">
        <v>0</v>
      </c>
      <c r="O3" s="10" t="s">
        <v>47</v>
      </c>
      <c r="P3" s="15">
        <f t="shared" ref="P3:P66" si="1">G3+J3+L3-N3</f>
        <v>5</v>
      </c>
    </row>
    <row r="4" spans="1:16" x14ac:dyDescent="0.25">
      <c r="A4" s="9">
        <v>1012</v>
      </c>
      <c r="B4" s="10" t="s">
        <v>48</v>
      </c>
      <c r="C4" s="10" t="s">
        <v>49</v>
      </c>
      <c r="D4" s="11">
        <v>45698</v>
      </c>
      <c r="E4" s="12">
        <v>45698</v>
      </c>
      <c r="F4" s="13" t="s">
        <v>40</v>
      </c>
      <c r="G4" s="14">
        <v>10</v>
      </c>
      <c r="H4" s="13" t="s">
        <v>50</v>
      </c>
      <c r="I4" s="13" t="s">
        <v>45</v>
      </c>
      <c r="J4" s="14">
        <v>0</v>
      </c>
      <c r="K4" s="13" t="s">
        <v>40</v>
      </c>
      <c r="L4" s="14">
        <v>20</v>
      </c>
      <c r="M4" s="14">
        <f t="shared" si="0"/>
        <v>30</v>
      </c>
      <c r="N4" s="14">
        <v>10</v>
      </c>
      <c r="O4" s="10" t="s">
        <v>51</v>
      </c>
      <c r="P4" s="15">
        <f t="shared" si="1"/>
        <v>20</v>
      </c>
    </row>
    <row r="5" spans="1:16" x14ac:dyDescent="0.25">
      <c r="A5" s="10">
        <v>1013</v>
      </c>
      <c r="B5" s="10" t="s">
        <v>52</v>
      </c>
      <c r="C5" s="10" t="s">
        <v>39</v>
      </c>
      <c r="D5" s="11">
        <v>45708</v>
      </c>
      <c r="E5" s="12">
        <v>45708</v>
      </c>
      <c r="F5" s="13" t="s">
        <v>45</v>
      </c>
      <c r="G5" s="14">
        <v>15</v>
      </c>
      <c r="H5" s="13" t="s">
        <v>41</v>
      </c>
      <c r="I5" s="13" t="s">
        <v>40</v>
      </c>
      <c r="J5" s="14">
        <v>30</v>
      </c>
      <c r="K5" s="13" t="s">
        <v>40</v>
      </c>
      <c r="L5" s="14">
        <v>20</v>
      </c>
      <c r="M5" s="14">
        <f t="shared" si="0"/>
        <v>65</v>
      </c>
      <c r="N5" s="14">
        <v>3</v>
      </c>
      <c r="O5" s="10" t="s">
        <v>47</v>
      </c>
      <c r="P5" s="15">
        <f t="shared" si="1"/>
        <v>62</v>
      </c>
    </row>
    <row r="6" spans="1:16" x14ac:dyDescent="0.25">
      <c r="A6" s="9">
        <v>1014</v>
      </c>
      <c r="B6" s="10" t="s">
        <v>53</v>
      </c>
      <c r="C6" s="10" t="s">
        <v>44</v>
      </c>
      <c r="D6" s="11">
        <v>45721</v>
      </c>
      <c r="E6" s="12">
        <v>45721</v>
      </c>
      <c r="F6" s="13" t="s">
        <v>40</v>
      </c>
      <c r="G6" s="14">
        <v>5</v>
      </c>
      <c r="H6" s="13" t="s">
        <v>41</v>
      </c>
      <c r="I6" s="13" t="s">
        <v>45</v>
      </c>
      <c r="J6" s="14">
        <v>0</v>
      </c>
      <c r="K6" s="13" t="s">
        <v>45</v>
      </c>
      <c r="L6" s="14">
        <v>0</v>
      </c>
      <c r="M6" s="14">
        <f t="shared" si="0"/>
        <v>5</v>
      </c>
      <c r="N6" s="14">
        <v>1</v>
      </c>
      <c r="O6" s="10" t="s">
        <v>54</v>
      </c>
      <c r="P6" s="15">
        <f t="shared" si="1"/>
        <v>4</v>
      </c>
    </row>
    <row r="7" spans="1:16" x14ac:dyDescent="0.25">
      <c r="A7" s="10">
        <v>1015</v>
      </c>
      <c r="B7" s="10" t="s">
        <v>55</v>
      </c>
      <c r="C7" s="10" t="s">
        <v>49</v>
      </c>
      <c r="D7" s="11">
        <v>45718</v>
      </c>
      <c r="E7" s="12">
        <v>45718</v>
      </c>
      <c r="F7" s="13" t="s">
        <v>45</v>
      </c>
      <c r="G7" s="14">
        <v>10</v>
      </c>
      <c r="H7" s="13" t="s">
        <v>41</v>
      </c>
      <c r="I7" s="13" t="s">
        <v>45</v>
      </c>
      <c r="J7" s="14">
        <v>0</v>
      </c>
      <c r="K7" s="13" t="s">
        <v>40</v>
      </c>
      <c r="L7" s="14">
        <v>20</v>
      </c>
      <c r="M7" s="14">
        <f t="shared" si="0"/>
        <v>30</v>
      </c>
      <c r="N7" s="14">
        <v>2</v>
      </c>
      <c r="O7" s="10" t="s">
        <v>51</v>
      </c>
      <c r="P7" s="15">
        <f t="shared" si="1"/>
        <v>28</v>
      </c>
    </row>
    <row r="8" spans="1:16" x14ac:dyDescent="0.25">
      <c r="A8" s="9">
        <v>1016</v>
      </c>
      <c r="B8" s="10" t="s">
        <v>56</v>
      </c>
      <c r="C8" s="10" t="s">
        <v>39</v>
      </c>
      <c r="D8" s="11">
        <v>45719</v>
      </c>
      <c r="E8" s="12">
        <v>45719</v>
      </c>
      <c r="F8" s="13" t="s">
        <v>40</v>
      </c>
      <c r="G8" s="14">
        <v>15</v>
      </c>
      <c r="H8" s="13" t="s">
        <v>50</v>
      </c>
      <c r="I8" s="13" t="s">
        <v>40</v>
      </c>
      <c r="J8" s="14">
        <v>30</v>
      </c>
      <c r="K8" s="13" t="s">
        <v>40</v>
      </c>
      <c r="L8" s="14">
        <v>20</v>
      </c>
      <c r="M8" s="14">
        <f t="shared" si="0"/>
        <v>65</v>
      </c>
      <c r="N8" s="14">
        <v>10</v>
      </c>
      <c r="O8" s="10" t="s">
        <v>42</v>
      </c>
      <c r="P8" s="15">
        <f t="shared" si="1"/>
        <v>55</v>
      </c>
    </row>
    <row r="9" spans="1:16" x14ac:dyDescent="0.25">
      <c r="A9" s="10">
        <v>1017</v>
      </c>
      <c r="B9" s="10" t="s">
        <v>57</v>
      </c>
      <c r="C9" s="10" t="s">
        <v>44</v>
      </c>
      <c r="D9" s="11">
        <v>45720</v>
      </c>
      <c r="E9" s="12">
        <v>45720</v>
      </c>
      <c r="F9" s="13" t="s">
        <v>40</v>
      </c>
      <c r="G9" s="14">
        <v>5</v>
      </c>
      <c r="H9" s="13" t="s">
        <v>46</v>
      </c>
      <c r="I9" s="13" t="s">
        <v>45</v>
      </c>
      <c r="J9" s="14">
        <v>0</v>
      </c>
      <c r="K9" s="13" t="s">
        <v>45</v>
      </c>
      <c r="L9" s="14">
        <v>0</v>
      </c>
      <c r="M9" s="14">
        <f t="shared" si="0"/>
        <v>5</v>
      </c>
      <c r="N9" s="14">
        <v>0</v>
      </c>
      <c r="O9" s="10" t="s">
        <v>58</v>
      </c>
      <c r="P9" s="15">
        <f t="shared" si="1"/>
        <v>5</v>
      </c>
    </row>
    <row r="10" spans="1:16" x14ac:dyDescent="0.25">
      <c r="A10" s="9">
        <v>1018</v>
      </c>
      <c r="B10" s="10" t="s">
        <v>59</v>
      </c>
      <c r="C10" s="10" t="s">
        <v>39</v>
      </c>
      <c r="D10" s="11">
        <v>45721</v>
      </c>
      <c r="E10" s="12">
        <v>45721</v>
      </c>
      <c r="F10" s="13" t="s">
        <v>45</v>
      </c>
      <c r="G10" s="14">
        <v>15</v>
      </c>
      <c r="H10" s="13" t="s">
        <v>41</v>
      </c>
      <c r="I10" s="13" t="s">
        <v>40</v>
      </c>
      <c r="J10" s="14">
        <v>30</v>
      </c>
      <c r="K10" s="13" t="s">
        <v>40</v>
      </c>
      <c r="L10" s="14">
        <v>20</v>
      </c>
      <c r="M10" s="14">
        <f t="shared" si="0"/>
        <v>65</v>
      </c>
      <c r="N10" s="14">
        <v>5</v>
      </c>
      <c r="O10" s="10" t="s">
        <v>47</v>
      </c>
      <c r="P10" s="15">
        <f t="shared" si="1"/>
        <v>60</v>
      </c>
    </row>
    <row r="11" spans="1:16" x14ac:dyDescent="0.25">
      <c r="A11" s="10">
        <v>1019</v>
      </c>
      <c r="B11" s="10" t="s">
        <v>60</v>
      </c>
      <c r="C11" s="10" t="s">
        <v>49</v>
      </c>
      <c r="D11" s="11">
        <v>45722</v>
      </c>
      <c r="E11" s="12">
        <v>45722</v>
      </c>
      <c r="F11" s="13" t="s">
        <v>40</v>
      </c>
      <c r="G11" s="14">
        <v>10</v>
      </c>
      <c r="H11" s="13" t="s">
        <v>50</v>
      </c>
      <c r="I11" s="13" t="s">
        <v>45</v>
      </c>
      <c r="J11" s="14">
        <v>0</v>
      </c>
      <c r="K11" s="13" t="s">
        <v>40</v>
      </c>
      <c r="L11" s="14">
        <v>20</v>
      </c>
      <c r="M11" s="14">
        <f t="shared" si="0"/>
        <v>30</v>
      </c>
      <c r="N11" s="14">
        <v>15</v>
      </c>
      <c r="O11" s="10" t="s">
        <v>47</v>
      </c>
      <c r="P11" s="15">
        <f t="shared" si="1"/>
        <v>15</v>
      </c>
    </row>
    <row r="12" spans="1:16" x14ac:dyDescent="0.25">
      <c r="A12" s="9">
        <v>1020</v>
      </c>
      <c r="B12" s="10" t="s">
        <v>61</v>
      </c>
      <c r="C12" s="10" t="s">
        <v>44</v>
      </c>
      <c r="D12" s="11">
        <v>45723</v>
      </c>
      <c r="E12" s="12">
        <v>45723</v>
      </c>
      <c r="F12" s="13" t="s">
        <v>45</v>
      </c>
      <c r="G12" s="14">
        <v>5</v>
      </c>
      <c r="H12" s="13" t="s">
        <v>41</v>
      </c>
      <c r="I12" s="13" t="s">
        <v>45</v>
      </c>
      <c r="J12" s="14">
        <v>0</v>
      </c>
      <c r="K12" s="13" t="s">
        <v>45</v>
      </c>
      <c r="L12" s="14">
        <v>0</v>
      </c>
      <c r="M12" s="14">
        <f t="shared" si="0"/>
        <v>5</v>
      </c>
      <c r="N12" s="14">
        <v>1</v>
      </c>
      <c r="O12" s="10" t="s">
        <v>42</v>
      </c>
      <c r="P12" s="15">
        <f t="shared" si="1"/>
        <v>4</v>
      </c>
    </row>
    <row r="13" spans="1:16" x14ac:dyDescent="0.25">
      <c r="A13" s="10">
        <v>1021</v>
      </c>
      <c r="B13" s="10" t="s">
        <v>62</v>
      </c>
      <c r="C13" s="10" t="s">
        <v>39</v>
      </c>
      <c r="D13" s="11">
        <v>45724</v>
      </c>
      <c r="E13" s="12">
        <v>45724</v>
      </c>
      <c r="F13" s="13" t="s">
        <v>40</v>
      </c>
      <c r="G13" s="14">
        <v>15</v>
      </c>
      <c r="H13" s="13" t="s">
        <v>46</v>
      </c>
      <c r="I13" s="13" t="s">
        <v>40</v>
      </c>
      <c r="J13" s="14">
        <v>30</v>
      </c>
      <c r="K13" s="13" t="s">
        <v>40</v>
      </c>
      <c r="L13" s="14">
        <v>20</v>
      </c>
      <c r="M13" s="14">
        <f t="shared" si="0"/>
        <v>65</v>
      </c>
      <c r="N13" s="14">
        <v>20</v>
      </c>
      <c r="O13" s="10" t="s">
        <v>42</v>
      </c>
      <c r="P13" s="15">
        <f t="shared" si="1"/>
        <v>45</v>
      </c>
    </row>
    <row r="14" spans="1:16" x14ac:dyDescent="0.25">
      <c r="A14" s="9">
        <v>1022</v>
      </c>
      <c r="B14" s="10" t="s">
        <v>63</v>
      </c>
      <c r="C14" s="10" t="s">
        <v>49</v>
      </c>
      <c r="D14" s="11">
        <v>45725</v>
      </c>
      <c r="E14" s="12">
        <v>45725</v>
      </c>
      <c r="F14" s="13" t="s">
        <v>45</v>
      </c>
      <c r="G14" s="14">
        <v>10</v>
      </c>
      <c r="H14" s="13" t="s">
        <v>41</v>
      </c>
      <c r="I14" s="13" t="s">
        <v>45</v>
      </c>
      <c r="J14" s="14">
        <v>0</v>
      </c>
      <c r="K14" s="13" t="s">
        <v>40</v>
      </c>
      <c r="L14" s="14">
        <v>20</v>
      </c>
      <c r="M14" s="14">
        <f t="shared" si="0"/>
        <v>30</v>
      </c>
      <c r="N14" s="14">
        <v>10</v>
      </c>
      <c r="O14" s="10" t="s">
        <v>51</v>
      </c>
      <c r="P14" s="15">
        <f t="shared" si="1"/>
        <v>20</v>
      </c>
    </row>
    <row r="15" spans="1:16" x14ac:dyDescent="0.25">
      <c r="A15" s="10">
        <v>1023</v>
      </c>
      <c r="B15" s="10" t="s">
        <v>64</v>
      </c>
      <c r="C15" s="10" t="s">
        <v>44</v>
      </c>
      <c r="D15" s="11">
        <v>45726</v>
      </c>
      <c r="E15" s="12">
        <v>45726</v>
      </c>
      <c r="F15" s="13" t="s">
        <v>40</v>
      </c>
      <c r="G15" s="14">
        <v>5</v>
      </c>
      <c r="H15" s="13" t="s">
        <v>50</v>
      </c>
      <c r="I15" s="13" t="s">
        <v>45</v>
      </c>
      <c r="J15" s="14">
        <v>0</v>
      </c>
      <c r="K15" s="13" t="s">
        <v>45</v>
      </c>
      <c r="L15" s="14">
        <v>0</v>
      </c>
      <c r="M15" s="14">
        <f t="shared" si="0"/>
        <v>5</v>
      </c>
      <c r="N15" s="14">
        <v>0</v>
      </c>
      <c r="O15" s="10" t="s">
        <v>51</v>
      </c>
      <c r="P15" s="15">
        <f t="shared" si="1"/>
        <v>5</v>
      </c>
    </row>
    <row r="16" spans="1:16" x14ac:dyDescent="0.25">
      <c r="A16" s="9">
        <v>1024</v>
      </c>
      <c r="B16" s="10" t="s">
        <v>65</v>
      </c>
      <c r="C16" s="10" t="s">
        <v>39</v>
      </c>
      <c r="D16" s="11">
        <v>45727</v>
      </c>
      <c r="E16" s="12">
        <v>45727</v>
      </c>
      <c r="F16" s="13" t="s">
        <v>45</v>
      </c>
      <c r="G16" s="14">
        <v>15</v>
      </c>
      <c r="H16" s="13" t="s">
        <v>41</v>
      </c>
      <c r="I16" s="13" t="s">
        <v>40</v>
      </c>
      <c r="J16" s="14">
        <v>30</v>
      </c>
      <c r="K16" s="13" t="s">
        <v>40</v>
      </c>
      <c r="L16" s="14">
        <v>20</v>
      </c>
      <c r="M16" s="14">
        <f t="shared" si="0"/>
        <v>65</v>
      </c>
      <c r="N16" s="14">
        <v>8</v>
      </c>
      <c r="O16" s="10" t="s">
        <v>54</v>
      </c>
      <c r="P16" s="15">
        <f t="shared" si="1"/>
        <v>57</v>
      </c>
    </row>
    <row r="17" spans="1:16" x14ac:dyDescent="0.25">
      <c r="A17" s="10">
        <v>1025</v>
      </c>
      <c r="B17" s="10" t="s">
        <v>66</v>
      </c>
      <c r="C17" s="10" t="s">
        <v>49</v>
      </c>
      <c r="D17" s="11">
        <v>45728</v>
      </c>
      <c r="E17" s="12">
        <v>45728</v>
      </c>
      <c r="F17" s="13" t="s">
        <v>40</v>
      </c>
      <c r="G17" s="14">
        <v>10</v>
      </c>
      <c r="H17" s="13" t="s">
        <v>46</v>
      </c>
      <c r="I17" s="13" t="s">
        <v>45</v>
      </c>
      <c r="J17" s="14">
        <v>0</v>
      </c>
      <c r="K17" s="13" t="s">
        <v>40</v>
      </c>
      <c r="L17" s="14">
        <v>20</v>
      </c>
      <c r="M17" s="14">
        <f t="shared" si="0"/>
        <v>30</v>
      </c>
      <c r="N17" s="14">
        <v>12</v>
      </c>
      <c r="O17" s="10" t="s">
        <v>42</v>
      </c>
      <c r="P17" s="15">
        <f t="shared" si="1"/>
        <v>18</v>
      </c>
    </row>
    <row r="18" spans="1:16" x14ac:dyDescent="0.25">
      <c r="A18" s="9">
        <v>1026</v>
      </c>
      <c r="B18" s="10" t="s">
        <v>67</v>
      </c>
      <c r="C18" s="10" t="s">
        <v>44</v>
      </c>
      <c r="D18" s="11">
        <v>45729</v>
      </c>
      <c r="E18" s="12">
        <v>45729</v>
      </c>
      <c r="F18" s="13" t="s">
        <v>45</v>
      </c>
      <c r="G18" s="14">
        <v>5</v>
      </c>
      <c r="H18" s="13" t="s">
        <v>41</v>
      </c>
      <c r="I18" s="13" t="s">
        <v>45</v>
      </c>
      <c r="J18" s="14">
        <v>0</v>
      </c>
      <c r="K18" s="13" t="s">
        <v>45</v>
      </c>
      <c r="L18" s="14">
        <v>0</v>
      </c>
      <c r="M18" s="14">
        <f t="shared" si="0"/>
        <v>5</v>
      </c>
      <c r="N18" s="14">
        <v>2</v>
      </c>
      <c r="O18" s="10" t="s">
        <v>42</v>
      </c>
      <c r="P18" s="15">
        <f t="shared" si="1"/>
        <v>3</v>
      </c>
    </row>
    <row r="19" spans="1:16" x14ac:dyDescent="0.25">
      <c r="A19" s="10">
        <v>1027</v>
      </c>
      <c r="B19" s="10" t="s">
        <v>68</v>
      </c>
      <c r="C19" s="10" t="s">
        <v>39</v>
      </c>
      <c r="D19" s="11">
        <v>45730</v>
      </c>
      <c r="E19" s="12">
        <v>45730</v>
      </c>
      <c r="F19" s="13" t="s">
        <v>40</v>
      </c>
      <c r="G19" s="14">
        <v>15</v>
      </c>
      <c r="H19" s="13" t="s">
        <v>50</v>
      </c>
      <c r="I19" s="13" t="s">
        <v>40</v>
      </c>
      <c r="J19" s="14">
        <v>30</v>
      </c>
      <c r="K19" s="13" t="s">
        <v>40</v>
      </c>
      <c r="L19" s="14">
        <v>20</v>
      </c>
      <c r="M19" s="14">
        <f t="shared" si="0"/>
        <v>65</v>
      </c>
      <c r="N19" s="14">
        <v>7</v>
      </c>
      <c r="O19" s="10" t="s">
        <v>54</v>
      </c>
      <c r="P19" s="15">
        <f t="shared" si="1"/>
        <v>58</v>
      </c>
    </row>
    <row r="20" spans="1:16" x14ac:dyDescent="0.25">
      <c r="A20" s="9">
        <v>1028</v>
      </c>
      <c r="B20" s="10" t="s">
        <v>69</v>
      </c>
      <c r="C20" s="10" t="s">
        <v>49</v>
      </c>
      <c r="D20" s="11">
        <v>45731</v>
      </c>
      <c r="E20" s="12">
        <v>45731</v>
      </c>
      <c r="F20" s="13" t="s">
        <v>45</v>
      </c>
      <c r="G20" s="14">
        <v>10</v>
      </c>
      <c r="H20" s="13" t="s">
        <v>41</v>
      </c>
      <c r="I20" s="13" t="s">
        <v>45</v>
      </c>
      <c r="J20" s="14">
        <v>0</v>
      </c>
      <c r="K20" s="13" t="s">
        <v>40</v>
      </c>
      <c r="L20" s="14">
        <v>20</v>
      </c>
      <c r="M20" s="14">
        <f t="shared" si="0"/>
        <v>30</v>
      </c>
      <c r="N20" s="14">
        <v>5</v>
      </c>
      <c r="O20" s="10" t="s">
        <v>58</v>
      </c>
      <c r="P20" s="15">
        <f t="shared" si="1"/>
        <v>25</v>
      </c>
    </row>
    <row r="21" spans="1:16" x14ac:dyDescent="0.25">
      <c r="A21" s="10">
        <v>1029</v>
      </c>
      <c r="B21" s="10" t="s">
        <v>70</v>
      </c>
      <c r="C21" s="10" t="s">
        <v>44</v>
      </c>
      <c r="D21" s="11">
        <v>45732</v>
      </c>
      <c r="E21" s="12">
        <v>45732</v>
      </c>
      <c r="F21" s="13" t="s">
        <v>40</v>
      </c>
      <c r="G21" s="14">
        <v>5</v>
      </c>
      <c r="H21" s="13" t="s">
        <v>46</v>
      </c>
      <c r="I21" s="13" t="s">
        <v>45</v>
      </c>
      <c r="J21" s="14">
        <v>0</v>
      </c>
      <c r="K21" s="13" t="s">
        <v>45</v>
      </c>
      <c r="L21" s="14">
        <v>0</v>
      </c>
      <c r="M21" s="14">
        <f t="shared" si="0"/>
        <v>5</v>
      </c>
      <c r="N21" s="14">
        <v>0</v>
      </c>
      <c r="O21" s="10" t="s">
        <v>54</v>
      </c>
      <c r="P21" s="15">
        <f t="shared" si="1"/>
        <v>5</v>
      </c>
    </row>
    <row r="22" spans="1:16" x14ac:dyDescent="0.25">
      <c r="A22" s="9">
        <v>1030</v>
      </c>
      <c r="B22" s="10" t="s">
        <v>71</v>
      </c>
      <c r="C22" s="10" t="s">
        <v>39</v>
      </c>
      <c r="D22" s="11">
        <v>45733</v>
      </c>
      <c r="E22" s="12">
        <v>45733</v>
      </c>
      <c r="F22" s="13" t="s">
        <v>45</v>
      </c>
      <c r="G22" s="14">
        <v>15</v>
      </c>
      <c r="H22" s="13" t="s">
        <v>41</v>
      </c>
      <c r="I22" s="13" t="s">
        <v>40</v>
      </c>
      <c r="J22" s="14">
        <v>30</v>
      </c>
      <c r="K22" s="13" t="s">
        <v>40</v>
      </c>
      <c r="L22" s="14">
        <v>20</v>
      </c>
      <c r="M22" s="14">
        <f t="shared" si="0"/>
        <v>65</v>
      </c>
      <c r="N22" s="14">
        <v>3</v>
      </c>
      <c r="O22" s="10" t="s">
        <v>42</v>
      </c>
      <c r="P22" s="15">
        <f t="shared" si="1"/>
        <v>62</v>
      </c>
    </row>
    <row r="23" spans="1:16" x14ac:dyDescent="0.25">
      <c r="A23" s="10">
        <v>1031</v>
      </c>
      <c r="B23" s="10" t="s">
        <v>72</v>
      </c>
      <c r="C23" s="10" t="s">
        <v>49</v>
      </c>
      <c r="D23" s="11">
        <v>45734</v>
      </c>
      <c r="E23" s="12">
        <v>45734</v>
      </c>
      <c r="F23" s="13" t="s">
        <v>40</v>
      </c>
      <c r="G23" s="14">
        <v>10</v>
      </c>
      <c r="H23" s="13" t="s">
        <v>50</v>
      </c>
      <c r="I23" s="13" t="s">
        <v>45</v>
      </c>
      <c r="J23" s="14">
        <v>0</v>
      </c>
      <c r="K23" s="13" t="s">
        <v>40</v>
      </c>
      <c r="L23" s="14">
        <v>20</v>
      </c>
      <c r="M23" s="14">
        <f t="shared" si="0"/>
        <v>30</v>
      </c>
      <c r="N23" s="14">
        <v>15</v>
      </c>
      <c r="O23" s="10" t="s">
        <v>47</v>
      </c>
      <c r="P23" s="15">
        <f t="shared" si="1"/>
        <v>15</v>
      </c>
    </row>
    <row r="24" spans="1:16" x14ac:dyDescent="0.25">
      <c r="A24" s="9">
        <v>1032</v>
      </c>
      <c r="B24" s="10" t="s">
        <v>73</v>
      </c>
      <c r="C24" s="10" t="s">
        <v>44</v>
      </c>
      <c r="D24" s="11">
        <v>45735</v>
      </c>
      <c r="E24" s="12">
        <v>45735</v>
      </c>
      <c r="F24" s="13" t="s">
        <v>45</v>
      </c>
      <c r="G24" s="14">
        <v>5</v>
      </c>
      <c r="H24" s="13" t="s">
        <v>41</v>
      </c>
      <c r="I24" s="13" t="s">
        <v>45</v>
      </c>
      <c r="J24" s="14">
        <v>0</v>
      </c>
      <c r="K24" s="13" t="s">
        <v>45</v>
      </c>
      <c r="L24" s="14">
        <v>0</v>
      </c>
      <c r="M24" s="14">
        <f t="shared" si="0"/>
        <v>5</v>
      </c>
      <c r="N24" s="14">
        <v>1</v>
      </c>
      <c r="O24" s="10" t="s">
        <v>42</v>
      </c>
      <c r="P24" s="15">
        <f t="shared" si="1"/>
        <v>4</v>
      </c>
    </row>
    <row r="25" spans="1:16" x14ac:dyDescent="0.25">
      <c r="A25" s="10">
        <v>1033</v>
      </c>
      <c r="B25" s="10" t="s">
        <v>74</v>
      </c>
      <c r="C25" s="10" t="s">
        <v>39</v>
      </c>
      <c r="D25" s="11">
        <v>45736</v>
      </c>
      <c r="E25" s="12">
        <v>45736</v>
      </c>
      <c r="F25" s="13" t="s">
        <v>40</v>
      </c>
      <c r="G25" s="14">
        <v>15</v>
      </c>
      <c r="H25" s="13" t="s">
        <v>46</v>
      </c>
      <c r="I25" s="13" t="s">
        <v>40</v>
      </c>
      <c r="J25" s="14">
        <v>30</v>
      </c>
      <c r="K25" s="13" t="s">
        <v>40</v>
      </c>
      <c r="L25" s="14">
        <v>20</v>
      </c>
      <c r="M25" s="14">
        <f t="shared" si="0"/>
        <v>65</v>
      </c>
      <c r="N25" s="14">
        <v>20</v>
      </c>
      <c r="O25" s="10" t="s">
        <v>58</v>
      </c>
      <c r="P25" s="15">
        <f t="shared" si="1"/>
        <v>45</v>
      </c>
    </row>
    <row r="26" spans="1:16" x14ac:dyDescent="0.25">
      <c r="A26" s="9">
        <v>1034</v>
      </c>
      <c r="B26" s="10" t="s">
        <v>75</v>
      </c>
      <c r="C26" s="10" t="s">
        <v>49</v>
      </c>
      <c r="D26" s="11">
        <v>45737</v>
      </c>
      <c r="E26" s="12">
        <v>45737</v>
      </c>
      <c r="F26" s="13" t="s">
        <v>45</v>
      </c>
      <c r="G26" s="14">
        <v>10</v>
      </c>
      <c r="H26" s="13" t="s">
        <v>41</v>
      </c>
      <c r="I26" s="13" t="s">
        <v>45</v>
      </c>
      <c r="J26" s="14">
        <v>0</v>
      </c>
      <c r="K26" s="13" t="s">
        <v>40</v>
      </c>
      <c r="L26" s="14">
        <v>20</v>
      </c>
      <c r="M26" s="14">
        <f t="shared" si="0"/>
        <v>30</v>
      </c>
      <c r="N26" s="14">
        <v>10</v>
      </c>
      <c r="O26" s="10" t="s">
        <v>47</v>
      </c>
      <c r="P26" s="15">
        <f t="shared" si="1"/>
        <v>20</v>
      </c>
    </row>
    <row r="27" spans="1:16" x14ac:dyDescent="0.25">
      <c r="A27" s="10">
        <v>1035</v>
      </c>
      <c r="B27" s="10" t="s">
        <v>76</v>
      </c>
      <c r="C27" s="10" t="s">
        <v>44</v>
      </c>
      <c r="D27" s="11">
        <v>45738</v>
      </c>
      <c r="E27" s="12">
        <v>45738</v>
      </c>
      <c r="F27" s="13" t="s">
        <v>40</v>
      </c>
      <c r="G27" s="14">
        <v>5</v>
      </c>
      <c r="H27" s="13" t="s">
        <v>50</v>
      </c>
      <c r="I27" s="13" t="s">
        <v>45</v>
      </c>
      <c r="J27" s="14">
        <v>0</v>
      </c>
      <c r="K27" s="13" t="s">
        <v>45</v>
      </c>
      <c r="L27" s="14">
        <v>0</v>
      </c>
      <c r="M27" s="14">
        <f t="shared" si="0"/>
        <v>5</v>
      </c>
      <c r="N27" s="14">
        <v>0</v>
      </c>
      <c r="O27" s="10" t="s">
        <v>47</v>
      </c>
      <c r="P27" s="15">
        <f t="shared" si="1"/>
        <v>5</v>
      </c>
    </row>
    <row r="28" spans="1:16" x14ac:dyDescent="0.25">
      <c r="A28" s="9">
        <v>1036</v>
      </c>
      <c r="B28" s="10" t="s">
        <v>77</v>
      </c>
      <c r="C28" s="10" t="s">
        <v>39</v>
      </c>
      <c r="D28" s="11">
        <v>45739</v>
      </c>
      <c r="E28" s="12">
        <v>45739</v>
      </c>
      <c r="F28" s="13" t="s">
        <v>45</v>
      </c>
      <c r="G28" s="14">
        <v>15</v>
      </c>
      <c r="H28" s="13" t="s">
        <v>41</v>
      </c>
      <c r="I28" s="13" t="s">
        <v>40</v>
      </c>
      <c r="J28" s="14">
        <v>30</v>
      </c>
      <c r="K28" s="13" t="s">
        <v>40</v>
      </c>
      <c r="L28" s="14">
        <v>20</v>
      </c>
      <c r="M28" s="14">
        <f t="shared" si="0"/>
        <v>65</v>
      </c>
      <c r="N28" s="14">
        <v>5</v>
      </c>
      <c r="O28" s="10" t="s">
        <v>58</v>
      </c>
      <c r="P28" s="15">
        <f t="shared" si="1"/>
        <v>60</v>
      </c>
    </row>
    <row r="29" spans="1:16" x14ac:dyDescent="0.25">
      <c r="A29" s="10">
        <v>1037</v>
      </c>
      <c r="B29" s="10" t="s">
        <v>78</v>
      </c>
      <c r="C29" s="10" t="s">
        <v>49</v>
      </c>
      <c r="D29" s="11">
        <v>45740</v>
      </c>
      <c r="E29" s="12">
        <v>45740</v>
      </c>
      <c r="F29" s="13" t="s">
        <v>40</v>
      </c>
      <c r="G29" s="14">
        <v>10</v>
      </c>
      <c r="H29" s="13" t="s">
        <v>46</v>
      </c>
      <c r="I29" s="13" t="s">
        <v>45</v>
      </c>
      <c r="J29" s="14">
        <v>0</v>
      </c>
      <c r="K29" s="13" t="s">
        <v>40</v>
      </c>
      <c r="L29" s="14">
        <v>20</v>
      </c>
      <c r="M29" s="14">
        <f t="shared" si="0"/>
        <v>30</v>
      </c>
      <c r="N29" s="14">
        <v>15</v>
      </c>
      <c r="O29" s="10" t="s">
        <v>51</v>
      </c>
      <c r="P29" s="15">
        <f t="shared" si="1"/>
        <v>15</v>
      </c>
    </row>
    <row r="30" spans="1:16" x14ac:dyDescent="0.25">
      <c r="A30" s="9">
        <v>1038</v>
      </c>
      <c r="B30" s="10" t="s">
        <v>79</v>
      </c>
      <c r="C30" s="10" t="s">
        <v>44</v>
      </c>
      <c r="D30" s="11">
        <v>45741</v>
      </c>
      <c r="E30" s="12">
        <v>45741</v>
      </c>
      <c r="F30" s="13" t="s">
        <v>45</v>
      </c>
      <c r="G30" s="14">
        <v>5</v>
      </c>
      <c r="H30" s="13" t="s">
        <v>41</v>
      </c>
      <c r="I30" s="13" t="s">
        <v>45</v>
      </c>
      <c r="J30" s="14">
        <v>0</v>
      </c>
      <c r="K30" s="13" t="s">
        <v>45</v>
      </c>
      <c r="L30" s="14">
        <v>0</v>
      </c>
      <c r="M30" s="14">
        <f t="shared" si="0"/>
        <v>5</v>
      </c>
      <c r="N30" s="14">
        <v>1</v>
      </c>
      <c r="O30" s="10" t="s">
        <v>54</v>
      </c>
      <c r="P30" s="15">
        <f t="shared" si="1"/>
        <v>4</v>
      </c>
    </row>
    <row r="31" spans="1:16" x14ac:dyDescent="0.25">
      <c r="A31" s="10">
        <v>1039</v>
      </c>
      <c r="B31" s="10" t="s">
        <v>80</v>
      </c>
      <c r="C31" s="10" t="s">
        <v>39</v>
      </c>
      <c r="D31" s="11">
        <v>45742</v>
      </c>
      <c r="E31" s="12">
        <v>45742</v>
      </c>
      <c r="F31" s="13" t="s">
        <v>40</v>
      </c>
      <c r="G31" s="14">
        <v>15</v>
      </c>
      <c r="H31" s="13" t="s">
        <v>50</v>
      </c>
      <c r="I31" s="13" t="s">
        <v>40</v>
      </c>
      <c r="J31" s="14">
        <v>30</v>
      </c>
      <c r="K31" s="13" t="s">
        <v>40</v>
      </c>
      <c r="L31" s="14">
        <v>20</v>
      </c>
      <c r="M31" s="14">
        <f t="shared" si="0"/>
        <v>65</v>
      </c>
      <c r="N31" s="14">
        <v>7</v>
      </c>
      <c r="O31" s="10" t="s">
        <v>47</v>
      </c>
      <c r="P31" s="15">
        <f t="shared" si="1"/>
        <v>58</v>
      </c>
    </row>
    <row r="32" spans="1:16" x14ac:dyDescent="0.25">
      <c r="A32" s="9">
        <v>1040</v>
      </c>
      <c r="B32" s="10" t="s">
        <v>81</v>
      </c>
      <c r="C32" s="10" t="s">
        <v>49</v>
      </c>
      <c r="D32" s="11">
        <v>45743</v>
      </c>
      <c r="E32" s="12">
        <v>45743</v>
      </c>
      <c r="F32" s="13" t="s">
        <v>45</v>
      </c>
      <c r="G32" s="14">
        <v>10</v>
      </c>
      <c r="H32" s="13" t="s">
        <v>41</v>
      </c>
      <c r="I32" s="13" t="s">
        <v>45</v>
      </c>
      <c r="J32" s="14">
        <v>0</v>
      </c>
      <c r="K32" s="13" t="s">
        <v>40</v>
      </c>
      <c r="L32" s="14">
        <v>20</v>
      </c>
      <c r="M32" s="14">
        <f t="shared" si="0"/>
        <v>30</v>
      </c>
      <c r="N32" s="14">
        <v>10</v>
      </c>
      <c r="O32" s="10" t="s">
        <v>58</v>
      </c>
      <c r="P32" s="15">
        <f t="shared" si="1"/>
        <v>20</v>
      </c>
    </row>
    <row r="33" spans="1:16" x14ac:dyDescent="0.25">
      <c r="A33" s="10">
        <v>1041</v>
      </c>
      <c r="B33" s="10" t="s">
        <v>82</v>
      </c>
      <c r="C33" s="10" t="s">
        <v>44</v>
      </c>
      <c r="D33" s="11">
        <v>45744</v>
      </c>
      <c r="E33" s="12">
        <v>45744</v>
      </c>
      <c r="F33" s="13" t="s">
        <v>40</v>
      </c>
      <c r="G33" s="14">
        <v>5</v>
      </c>
      <c r="H33" s="13" t="s">
        <v>46</v>
      </c>
      <c r="I33" s="13" t="s">
        <v>45</v>
      </c>
      <c r="J33" s="14">
        <v>0</v>
      </c>
      <c r="K33" s="13" t="s">
        <v>45</v>
      </c>
      <c r="L33" s="14">
        <v>0</v>
      </c>
      <c r="M33" s="14">
        <f t="shared" si="0"/>
        <v>5</v>
      </c>
      <c r="N33" s="14">
        <v>0</v>
      </c>
      <c r="O33" s="10" t="s">
        <v>47</v>
      </c>
      <c r="P33" s="15">
        <f t="shared" si="1"/>
        <v>5</v>
      </c>
    </row>
    <row r="34" spans="1:16" x14ac:dyDescent="0.25">
      <c r="A34" s="9">
        <v>1042</v>
      </c>
      <c r="B34" s="10" t="s">
        <v>83</v>
      </c>
      <c r="C34" s="10" t="s">
        <v>39</v>
      </c>
      <c r="D34" s="11">
        <v>45745</v>
      </c>
      <c r="E34" s="12">
        <v>45745</v>
      </c>
      <c r="F34" s="13" t="s">
        <v>45</v>
      </c>
      <c r="G34" s="14">
        <v>15</v>
      </c>
      <c r="H34" s="13" t="s">
        <v>41</v>
      </c>
      <c r="I34" s="13" t="s">
        <v>40</v>
      </c>
      <c r="J34" s="14">
        <v>30</v>
      </c>
      <c r="K34" s="13" t="s">
        <v>40</v>
      </c>
      <c r="L34" s="14">
        <v>20</v>
      </c>
      <c r="M34" s="14">
        <f t="shared" si="0"/>
        <v>65</v>
      </c>
      <c r="N34" s="14">
        <v>3</v>
      </c>
      <c r="O34" s="10" t="s">
        <v>47</v>
      </c>
      <c r="P34" s="15">
        <f t="shared" si="1"/>
        <v>62</v>
      </c>
    </row>
    <row r="35" spans="1:16" x14ac:dyDescent="0.25">
      <c r="A35" s="10">
        <v>1043</v>
      </c>
      <c r="B35" s="10" t="s">
        <v>84</v>
      </c>
      <c r="C35" s="10" t="s">
        <v>49</v>
      </c>
      <c r="D35" s="11">
        <v>45746</v>
      </c>
      <c r="E35" s="12">
        <v>45746</v>
      </c>
      <c r="F35" s="13" t="s">
        <v>40</v>
      </c>
      <c r="G35" s="14">
        <v>10</v>
      </c>
      <c r="H35" s="13" t="s">
        <v>50</v>
      </c>
      <c r="I35" s="13" t="s">
        <v>45</v>
      </c>
      <c r="J35" s="14">
        <v>0</v>
      </c>
      <c r="K35" s="13" t="s">
        <v>40</v>
      </c>
      <c r="L35" s="14">
        <v>20</v>
      </c>
      <c r="M35" s="14">
        <f t="shared" si="0"/>
        <v>30</v>
      </c>
      <c r="N35" s="14">
        <v>15</v>
      </c>
      <c r="O35" s="10" t="s">
        <v>42</v>
      </c>
      <c r="P35" s="15">
        <f t="shared" si="1"/>
        <v>15</v>
      </c>
    </row>
    <row r="36" spans="1:16" x14ac:dyDescent="0.25">
      <c r="A36" s="9">
        <v>1044</v>
      </c>
      <c r="B36" s="10" t="s">
        <v>85</v>
      </c>
      <c r="C36" s="10" t="s">
        <v>44</v>
      </c>
      <c r="D36" s="11">
        <v>45747</v>
      </c>
      <c r="E36" s="12">
        <v>45747</v>
      </c>
      <c r="F36" s="13" t="s">
        <v>45</v>
      </c>
      <c r="G36" s="14">
        <v>5</v>
      </c>
      <c r="H36" s="13" t="s">
        <v>41</v>
      </c>
      <c r="I36" s="13" t="s">
        <v>45</v>
      </c>
      <c r="J36" s="14">
        <v>0</v>
      </c>
      <c r="K36" s="13" t="s">
        <v>45</v>
      </c>
      <c r="L36" s="14">
        <v>0</v>
      </c>
      <c r="M36" s="14">
        <f t="shared" si="0"/>
        <v>5</v>
      </c>
      <c r="N36" s="14">
        <v>1</v>
      </c>
      <c r="O36" s="10" t="s">
        <v>54</v>
      </c>
      <c r="P36" s="15">
        <f t="shared" si="1"/>
        <v>4</v>
      </c>
    </row>
    <row r="37" spans="1:16" x14ac:dyDescent="0.25">
      <c r="A37" s="10">
        <v>1045</v>
      </c>
      <c r="B37" s="10" t="s">
        <v>86</v>
      </c>
      <c r="C37" s="10" t="s">
        <v>44</v>
      </c>
      <c r="D37" s="11">
        <v>45748</v>
      </c>
      <c r="E37" s="12">
        <v>45748</v>
      </c>
      <c r="F37" s="13" t="s">
        <v>40</v>
      </c>
      <c r="G37" s="14">
        <v>5</v>
      </c>
      <c r="H37" s="13" t="s">
        <v>41</v>
      </c>
      <c r="I37" s="13" t="s">
        <v>45</v>
      </c>
      <c r="J37" s="14">
        <v>0</v>
      </c>
      <c r="K37" s="13" t="s">
        <v>45</v>
      </c>
      <c r="L37" s="14">
        <v>0</v>
      </c>
      <c r="M37" s="14">
        <f t="shared" si="0"/>
        <v>5</v>
      </c>
      <c r="N37" s="14">
        <v>0</v>
      </c>
      <c r="O37" s="10" t="s">
        <v>42</v>
      </c>
      <c r="P37" s="15">
        <f t="shared" si="1"/>
        <v>5</v>
      </c>
    </row>
    <row r="38" spans="1:16" x14ac:dyDescent="0.25">
      <c r="A38" s="9">
        <v>1046</v>
      </c>
      <c r="B38" s="10" t="s">
        <v>87</v>
      </c>
      <c r="C38" s="10" t="s">
        <v>39</v>
      </c>
      <c r="D38" s="11">
        <v>45749</v>
      </c>
      <c r="E38" s="12">
        <v>45749</v>
      </c>
      <c r="F38" s="13" t="s">
        <v>45</v>
      </c>
      <c r="G38" s="14">
        <v>15</v>
      </c>
      <c r="H38" s="13" t="s">
        <v>50</v>
      </c>
      <c r="I38" s="13" t="s">
        <v>40</v>
      </c>
      <c r="J38" s="14">
        <v>30</v>
      </c>
      <c r="K38" s="13" t="s">
        <v>40</v>
      </c>
      <c r="L38" s="14">
        <v>20</v>
      </c>
      <c r="M38" s="14">
        <f t="shared" si="0"/>
        <v>65</v>
      </c>
      <c r="N38" s="14">
        <v>7</v>
      </c>
      <c r="O38" s="10" t="s">
        <v>47</v>
      </c>
      <c r="P38" s="15">
        <f t="shared" si="1"/>
        <v>58</v>
      </c>
    </row>
    <row r="39" spans="1:16" x14ac:dyDescent="0.25">
      <c r="A39" s="10">
        <v>1047</v>
      </c>
      <c r="B39" s="10" t="s">
        <v>88</v>
      </c>
      <c r="C39" s="10" t="s">
        <v>49</v>
      </c>
      <c r="D39" s="11">
        <v>45750</v>
      </c>
      <c r="E39" s="12">
        <v>45750</v>
      </c>
      <c r="F39" s="13" t="s">
        <v>40</v>
      </c>
      <c r="G39" s="14">
        <v>10</v>
      </c>
      <c r="H39" s="13" t="s">
        <v>46</v>
      </c>
      <c r="I39" s="13" t="s">
        <v>45</v>
      </c>
      <c r="J39" s="14">
        <v>0</v>
      </c>
      <c r="K39" s="13" t="s">
        <v>40</v>
      </c>
      <c r="L39" s="14">
        <v>20</v>
      </c>
      <c r="M39" s="14">
        <f t="shared" si="0"/>
        <v>30</v>
      </c>
      <c r="N39" s="14">
        <v>10</v>
      </c>
      <c r="O39" s="10" t="s">
        <v>42</v>
      </c>
      <c r="P39" s="15">
        <f t="shared" si="1"/>
        <v>20</v>
      </c>
    </row>
    <row r="40" spans="1:16" x14ac:dyDescent="0.25">
      <c r="A40" s="9">
        <v>1048</v>
      </c>
      <c r="B40" s="10" t="s">
        <v>89</v>
      </c>
      <c r="C40" s="10" t="s">
        <v>44</v>
      </c>
      <c r="D40" s="11">
        <v>45751</v>
      </c>
      <c r="E40" s="12">
        <v>45751</v>
      </c>
      <c r="F40" s="13" t="s">
        <v>45</v>
      </c>
      <c r="G40" s="14">
        <v>5</v>
      </c>
      <c r="H40" s="13" t="s">
        <v>50</v>
      </c>
      <c r="I40" s="13" t="s">
        <v>45</v>
      </c>
      <c r="J40" s="14">
        <v>0</v>
      </c>
      <c r="K40" s="13" t="s">
        <v>45</v>
      </c>
      <c r="L40" s="14">
        <v>0</v>
      </c>
      <c r="M40" s="14">
        <f t="shared" si="0"/>
        <v>5</v>
      </c>
      <c r="N40" s="14">
        <v>1</v>
      </c>
      <c r="O40" s="10" t="s">
        <v>54</v>
      </c>
      <c r="P40" s="15">
        <f t="shared" si="1"/>
        <v>4</v>
      </c>
    </row>
    <row r="41" spans="1:16" x14ac:dyDescent="0.25">
      <c r="A41" s="10">
        <v>1049</v>
      </c>
      <c r="B41" s="10" t="s">
        <v>90</v>
      </c>
      <c r="C41" s="10" t="s">
        <v>39</v>
      </c>
      <c r="D41" s="11">
        <v>45752</v>
      </c>
      <c r="E41" s="12">
        <v>45752</v>
      </c>
      <c r="F41" s="13" t="s">
        <v>40</v>
      </c>
      <c r="G41" s="14">
        <v>15</v>
      </c>
      <c r="H41" s="13" t="s">
        <v>41</v>
      </c>
      <c r="I41" s="13" t="s">
        <v>40</v>
      </c>
      <c r="J41" s="14">
        <v>30</v>
      </c>
      <c r="K41" s="13" t="s">
        <v>40</v>
      </c>
      <c r="L41" s="14">
        <v>20</v>
      </c>
      <c r="M41" s="14">
        <f t="shared" si="0"/>
        <v>65</v>
      </c>
      <c r="N41" s="14">
        <v>15</v>
      </c>
      <c r="O41" s="10" t="s">
        <v>58</v>
      </c>
      <c r="P41" s="15">
        <f t="shared" si="1"/>
        <v>50</v>
      </c>
    </row>
    <row r="42" spans="1:16" x14ac:dyDescent="0.25">
      <c r="A42" s="9">
        <v>1050</v>
      </c>
      <c r="B42" s="10" t="s">
        <v>91</v>
      </c>
      <c r="C42" s="10" t="s">
        <v>49</v>
      </c>
      <c r="D42" s="11">
        <v>45753</v>
      </c>
      <c r="E42" s="12">
        <v>45753</v>
      </c>
      <c r="F42" s="13" t="s">
        <v>45</v>
      </c>
      <c r="G42" s="14">
        <v>10</v>
      </c>
      <c r="H42" s="13" t="s">
        <v>41</v>
      </c>
      <c r="I42" s="13" t="s">
        <v>45</v>
      </c>
      <c r="J42" s="14">
        <v>0</v>
      </c>
      <c r="K42" s="13" t="s">
        <v>40</v>
      </c>
      <c r="L42" s="14">
        <v>20</v>
      </c>
      <c r="M42" s="14">
        <f t="shared" si="0"/>
        <v>30</v>
      </c>
      <c r="N42" s="14">
        <v>5</v>
      </c>
      <c r="O42" s="10" t="s">
        <v>54</v>
      </c>
      <c r="P42" s="15">
        <f t="shared" si="1"/>
        <v>25</v>
      </c>
    </row>
    <row r="43" spans="1:16" x14ac:dyDescent="0.25">
      <c r="A43" s="10">
        <v>1051</v>
      </c>
      <c r="B43" s="10" t="s">
        <v>92</v>
      </c>
      <c r="C43" s="10" t="s">
        <v>44</v>
      </c>
      <c r="D43" s="11">
        <v>45754</v>
      </c>
      <c r="E43" s="12">
        <v>45754</v>
      </c>
      <c r="F43" s="13" t="s">
        <v>40</v>
      </c>
      <c r="G43" s="14">
        <v>5</v>
      </c>
      <c r="H43" s="13" t="s">
        <v>46</v>
      </c>
      <c r="I43" s="13" t="s">
        <v>45</v>
      </c>
      <c r="J43" s="14">
        <v>0</v>
      </c>
      <c r="K43" s="13" t="s">
        <v>45</v>
      </c>
      <c r="L43" s="14">
        <v>0</v>
      </c>
      <c r="M43" s="14">
        <f t="shared" si="0"/>
        <v>5</v>
      </c>
      <c r="N43" s="14">
        <v>0</v>
      </c>
      <c r="O43" s="10" t="s">
        <v>58</v>
      </c>
      <c r="P43" s="15">
        <f t="shared" si="1"/>
        <v>5</v>
      </c>
    </row>
    <row r="44" spans="1:16" x14ac:dyDescent="0.25">
      <c r="A44" s="9">
        <v>1052</v>
      </c>
      <c r="B44" s="10" t="s">
        <v>93</v>
      </c>
      <c r="C44" s="10" t="s">
        <v>39</v>
      </c>
      <c r="D44" s="11">
        <v>45755</v>
      </c>
      <c r="E44" s="12">
        <v>45755</v>
      </c>
      <c r="F44" s="13" t="s">
        <v>45</v>
      </c>
      <c r="G44" s="14">
        <v>15</v>
      </c>
      <c r="H44" s="13" t="s">
        <v>50</v>
      </c>
      <c r="I44" s="13" t="s">
        <v>40</v>
      </c>
      <c r="J44" s="14">
        <v>30</v>
      </c>
      <c r="K44" s="13" t="s">
        <v>40</v>
      </c>
      <c r="L44" s="14">
        <v>20</v>
      </c>
      <c r="M44" s="14">
        <f t="shared" si="0"/>
        <v>65</v>
      </c>
      <c r="N44" s="14">
        <v>20</v>
      </c>
      <c r="O44" s="10" t="s">
        <v>42</v>
      </c>
      <c r="P44" s="15">
        <f t="shared" si="1"/>
        <v>45</v>
      </c>
    </row>
    <row r="45" spans="1:16" x14ac:dyDescent="0.25">
      <c r="A45" s="10">
        <v>1053</v>
      </c>
      <c r="B45" s="10" t="s">
        <v>94</v>
      </c>
      <c r="C45" s="10" t="s">
        <v>49</v>
      </c>
      <c r="D45" s="11">
        <v>45756</v>
      </c>
      <c r="E45" s="12">
        <v>45756</v>
      </c>
      <c r="F45" s="13" t="s">
        <v>40</v>
      </c>
      <c r="G45" s="14">
        <v>10</v>
      </c>
      <c r="H45" s="13" t="s">
        <v>50</v>
      </c>
      <c r="I45" s="13" t="s">
        <v>45</v>
      </c>
      <c r="J45" s="14">
        <v>0</v>
      </c>
      <c r="K45" s="13" t="s">
        <v>40</v>
      </c>
      <c r="L45" s="14">
        <v>20</v>
      </c>
      <c r="M45" s="14">
        <f t="shared" si="0"/>
        <v>30</v>
      </c>
      <c r="N45" s="14">
        <v>12</v>
      </c>
      <c r="O45" s="10" t="s">
        <v>42</v>
      </c>
      <c r="P45" s="15">
        <f t="shared" si="1"/>
        <v>18</v>
      </c>
    </row>
    <row r="46" spans="1:16" x14ac:dyDescent="0.25">
      <c r="A46" s="9">
        <v>1054</v>
      </c>
      <c r="B46" s="10" t="s">
        <v>95</v>
      </c>
      <c r="C46" s="10" t="s">
        <v>44</v>
      </c>
      <c r="D46" s="11">
        <v>45757</v>
      </c>
      <c r="E46" s="12">
        <v>45757</v>
      </c>
      <c r="F46" s="13" t="s">
        <v>45</v>
      </c>
      <c r="G46" s="14">
        <v>5</v>
      </c>
      <c r="H46" s="13" t="s">
        <v>41</v>
      </c>
      <c r="I46" s="13" t="s">
        <v>45</v>
      </c>
      <c r="J46" s="14">
        <v>0</v>
      </c>
      <c r="K46" s="13" t="s">
        <v>45</v>
      </c>
      <c r="L46" s="14">
        <v>0</v>
      </c>
      <c r="M46" s="14">
        <f t="shared" si="0"/>
        <v>5</v>
      </c>
      <c r="N46" s="14">
        <v>2</v>
      </c>
      <c r="O46" s="10" t="s">
        <v>47</v>
      </c>
      <c r="P46" s="15">
        <f t="shared" si="1"/>
        <v>3</v>
      </c>
    </row>
    <row r="47" spans="1:16" x14ac:dyDescent="0.25">
      <c r="A47" s="10">
        <v>1055</v>
      </c>
      <c r="B47" s="10" t="s">
        <v>96</v>
      </c>
      <c r="C47" s="10" t="s">
        <v>39</v>
      </c>
      <c r="D47" s="11">
        <v>45758</v>
      </c>
      <c r="E47" s="12">
        <v>45758</v>
      </c>
      <c r="F47" s="13" t="s">
        <v>40</v>
      </c>
      <c r="G47" s="14">
        <v>15</v>
      </c>
      <c r="H47" s="13" t="s">
        <v>46</v>
      </c>
      <c r="I47" s="13" t="s">
        <v>40</v>
      </c>
      <c r="J47" s="14">
        <v>30</v>
      </c>
      <c r="K47" s="13" t="s">
        <v>40</v>
      </c>
      <c r="L47" s="14">
        <v>20</v>
      </c>
      <c r="M47" s="14">
        <f t="shared" si="0"/>
        <v>65</v>
      </c>
      <c r="N47" s="14">
        <v>5</v>
      </c>
      <c r="O47" s="10" t="s">
        <v>51</v>
      </c>
      <c r="P47" s="15">
        <f t="shared" si="1"/>
        <v>60</v>
      </c>
    </row>
    <row r="48" spans="1:16" x14ac:dyDescent="0.25">
      <c r="A48" s="9">
        <v>1056</v>
      </c>
      <c r="B48" s="10" t="s">
        <v>97</v>
      </c>
      <c r="C48" s="10" t="s">
        <v>49</v>
      </c>
      <c r="D48" s="11">
        <v>45759</v>
      </c>
      <c r="E48" s="12">
        <v>45759</v>
      </c>
      <c r="F48" s="13" t="s">
        <v>45</v>
      </c>
      <c r="G48" s="14">
        <v>10</v>
      </c>
      <c r="H48" s="13" t="s">
        <v>41</v>
      </c>
      <c r="I48" s="13" t="s">
        <v>45</v>
      </c>
      <c r="J48" s="14">
        <v>0</v>
      </c>
      <c r="K48" s="13" t="s">
        <v>40</v>
      </c>
      <c r="L48" s="14">
        <v>20</v>
      </c>
      <c r="M48" s="14">
        <f t="shared" si="0"/>
        <v>30</v>
      </c>
      <c r="N48" s="14">
        <v>10</v>
      </c>
      <c r="O48" s="10" t="s">
        <v>51</v>
      </c>
      <c r="P48" s="15">
        <f t="shared" si="1"/>
        <v>20</v>
      </c>
    </row>
    <row r="49" spans="1:16" x14ac:dyDescent="0.25">
      <c r="A49" s="10">
        <v>1057</v>
      </c>
      <c r="B49" s="10" t="s">
        <v>98</v>
      </c>
      <c r="C49" s="10" t="s">
        <v>44</v>
      </c>
      <c r="D49" s="11">
        <v>45760</v>
      </c>
      <c r="E49" s="12">
        <v>45760</v>
      </c>
      <c r="F49" s="13" t="s">
        <v>40</v>
      </c>
      <c r="G49" s="14">
        <v>5</v>
      </c>
      <c r="H49" s="13" t="s">
        <v>50</v>
      </c>
      <c r="I49" s="13" t="s">
        <v>45</v>
      </c>
      <c r="J49" s="14">
        <v>0</v>
      </c>
      <c r="K49" s="13" t="s">
        <v>45</v>
      </c>
      <c r="L49" s="14">
        <v>0</v>
      </c>
      <c r="M49" s="14">
        <f t="shared" si="0"/>
        <v>5</v>
      </c>
      <c r="N49" s="14">
        <v>0</v>
      </c>
      <c r="O49" s="10" t="s">
        <v>47</v>
      </c>
      <c r="P49" s="15">
        <f t="shared" si="1"/>
        <v>5</v>
      </c>
    </row>
    <row r="50" spans="1:16" x14ac:dyDescent="0.25">
      <c r="A50" s="9">
        <v>1058</v>
      </c>
      <c r="B50" s="10" t="s">
        <v>99</v>
      </c>
      <c r="C50" s="10" t="s">
        <v>39</v>
      </c>
      <c r="D50" s="11">
        <v>45761</v>
      </c>
      <c r="E50" s="12">
        <v>45761</v>
      </c>
      <c r="F50" s="13" t="s">
        <v>45</v>
      </c>
      <c r="G50" s="14">
        <v>15</v>
      </c>
      <c r="H50" s="13" t="s">
        <v>41</v>
      </c>
      <c r="I50" s="13" t="s">
        <v>40</v>
      </c>
      <c r="J50" s="14">
        <v>30</v>
      </c>
      <c r="K50" s="13" t="s">
        <v>40</v>
      </c>
      <c r="L50" s="14">
        <v>20</v>
      </c>
      <c r="M50" s="14">
        <f t="shared" si="0"/>
        <v>65</v>
      </c>
      <c r="N50" s="14">
        <v>3</v>
      </c>
      <c r="O50" s="10" t="s">
        <v>58</v>
      </c>
      <c r="P50" s="15">
        <f t="shared" si="1"/>
        <v>62</v>
      </c>
    </row>
    <row r="51" spans="1:16" x14ac:dyDescent="0.25">
      <c r="A51" s="10">
        <v>1059</v>
      </c>
      <c r="B51" s="10" t="s">
        <v>100</v>
      </c>
      <c r="C51" s="10" t="s">
        <v>49</v>
      </c>
      <c r="D51" s="11">
        <v>45762</v>
      </c>
      <c r="E51" s="12">
        <v>45762</v>
      </c>
      <c r="F51" s="13" t="s">
        <v>40</v>
      </c>
      <c r="G51" s="14">
        <v>10</v>
      </c>
      <c r="H51" s="13" t="s">
        <v>46</v>
      </c>
      <c r="I51" s="13" t="s">
        <v>45</v>
      </c>
      <c r="J51" s="14">
        <v>0</v>
      </c>
      <c r="K51" s="13" t="s">
        <v>40</v>
      </c>
      <c r="L51" s="14">
        <v>20</v>
      </c>
      <c r="M51" s="14">
        <f t="shared" si="0"/>
        <v>30</v>
      </c>
      <c r="N51" s="14">
        <v>15</v>
      </c>
      <c r="O51" s="10" t="s">
        <v>47</v>
      </c>
      <c r="P51" s="15">
        <f t="shared" si="1"/>
        <v>15</v>
      </c>
    </row>
    <row r="52" spans="1:16" x14ac:dyDescent="0.25">
      <c r="A52" s="9">
        <v>1060</v>
      </c>
      <c r="B52" s="10" t="s">
        <v>101</v>
      </c>
      <c r="C52" s="10" t="s">
        <v>44</v>
      </c>
      <c r="D52" s="11">
        <v>45763</v>
      </c>
      <c r="E52" s="12">
        <v>45763</v>
      </c>
      <c r="F52" s="13" t="s">
        <v>45</v>
      </c>
      <c r="G52" s="14">
        <v>5</v>
      </c>
      <c r="H52" s="13" t="s">
        <v>41</v>
      </c>
      <c r="I52" s="13" t="s">
        <v>45</v>
      </c>
      <c r="J52" s="14">
        <v>0</v>
      </c>
      <c r="K52" s="13" t="s">
        <v>45</v>
      </c>
      <c r="L52" s="14">
        <v>0</v>
      </c>
      <c r="M52" s="14">
        <f t="shared" si="0"/>
        <v>5</v>
      </c>
      <c r="N52" s="14">
        <v>1</v>
      </c>
      <c r="O52" s="10" t="s">
        <v>51</v>
      </c>
      <c r="P52" s="15">
        <f t="shared" si="1"/>
        <v>4</v>
      </c>
    </row>
    <row r="53" spans="1:16" x14ac:dyDescent="0.25">
      <c r="A53" s="10">
        <v>1061</v>
      </c>
      <c r="B53" s="10" t="s">
        <v>102</v>
      </c>
      <c r="C53" s="10" t="s">
        <v>39</v>
      </c>
      <c r="D53" s="11">
        <v>45764</v>
      </c>
      <c r="E53" s="12">
        <v>45764</v>
      </c>
      <c r="F53" s="13" t="s">
        <v>40</v>
      </c>
      <c r="G53" s="14">
        <v>15</v>
      </c>
      <c r="H53" s="13" t="s">
        <v>50</v>
      </c>
      <c r="I53" s="13" t="s">
        <v>40</v>
      </c>
      <c r="J53" s="14">
        <v>30</v>
      </c>
      <c r="K53" s="13" t="s">
        <v>40</v>
      </c>
      <c r="L53" s="14">
        <v>20</v>
      </c>
      <c r="M53" s="14">
        <f t="shared" si="0"/>
        <v>65</v>
      </c>
      <c r="N53" s="14">
        <v>7</v>
      </c>
      <c r="O53" s="10" t="s">
        <v>42</v>
      </c>
      <c r="P53" s="15">
        <f t="shared" si="1"/>
        <v>58</v>
      </c>
    </row>
    <row r="54" spans="1:16" x14ac:dyDescent="0.25">
      <c r="A54" s="9">
        <v>1062</v>
      </c>
      <c r="B54" s="10" t="s">
        <v>103</v>
      </c>
      <c r="C54" s="10" t="s">
        <v>49</v>
      </c>
      <c r="D54" s="11">
        <v>45765</v>
      </c>
      <c r="E54" s="12">
        <v>45765</v>
      </c>
      <c r="F54" s="13" t="s">
        <v>45</v>
      </c>
      <c r="G54" s="14">
        <v>10</v>
      </c>
      <c r="H54" s="13" t="s">
        <v>41</v>
      </c>
      <c r="I54" s="13" t="s">
        <v>45</v>
      </c>
      <c r="J54" s="14">
        <v>0</v>
      </c>
      <c r="K54" s="13" t="s">
        <v>40</v>
      </c>
      <c r="L54" s="14">
        <v>20</v>
      </c>
      <c r="M54" s="14">
        <f t="shared" si="0"/>
        <v>30</v>
      </c>
      <c r="N54" s="14">
        <v>10</v>
      </c>
      <c r="O54" s="10" t="s">
        <v>51</v>
      </c>
      <c r="P54" s="15">
        <f t="shared" si="1"/>
        <v>20</v>
      </c>
    </row>
    <row r="55" spans="1:16" x14ac:dyDescent="0.25">
      <c r="A55" s="10">
        <v>1063</v>
      </c>
      <c r="B55" s="10" t="s">
        <v>104</v>
      </c>
      <c r="C55" s="10" t="s">
        <v>44</v>
      </c>
      <c r="D55" s="11">
        <v>45766</v>
      </c>
      <c r="E55" s="12">
        <v>45766</v>
      </c>
      <c r="F55" s="13" t="s">
        <v>40</v>
      </c>
      <c r="G55" s="14">
        <v>5</v>
      </c>
      <c r="H55" s="13" t="s">
        <v>46</v>
      </c>
      <c r="I55" s="13" t="s">
        <v>45</v>
      </c>
      <c r="J55" s="14">
        <v>0</v>
      </c>
      <c r="K55" s="13" t="s">
        <v>45</v>
      </c>
      <c r="L55" s="14">
        <v>0</v>
      </c>
      <c r="M55" s="14">
        <f t="shared" si="0"/>
        <v>5</v>
      </c>
      <c r="N55" s="14">
        <v>0</v>
      </c>
      <c r="O55" s="10" t="s">
        <v>58</v>
      </c>
      <c r="P55" s="15">
        <f t="shared" si="1"/>
        <v>5</v>
      </c>
    </row>
    <row r="56" spans="1:16" x14ac:dyDescent="0.25">
      <c r="A56" s="9">
        <v>1064</v>
      </c>
      <c r="B56" s="10" t="s">
        <v>105</v>
      </c>
      <c r="C56" s="10" t="s">
        <v>39</v>
      </c>
      <c r="D56" s="11">
        <v>45767</v>
      </c>
      <c r="E56" s="12">
        <v>45767</v>
      </c>
      <c r="F56" s="13" t="s">
        <v>45</v>
      </c>
      <c r="G56" s="14">
        <v>15</v>
      </c>
      <c r="H56" s="13" t="s">
        <v>41</v>
      </c>
      <c r="I56" s="13" t="s">
        <v>40</v>
      </c>
      <c r="J56" s="14">
        <v>30</v>
      </c>
      <c r="K56" s="13" t="s">
        <v>40</v>
      </c>
      <c r="L56" s="14">
        <v>20</v>
      </c>
      <c r="M56" s="14">
        <f t="shared" si="0"/>
        <v>65</v>
      </c>
      <c r="N56" s="14">
        <v>20</v>
      </c>
      <c r="O56" s="10" t="s">
        <v>42</v>
      </c>
      <c r="P56" s="15">
        <f t="shared" si="1"/>
        <v>45</v>
      </c>
    </row>
    <row r="57" spans="1:16" x14ac:dyDescent="0.25">
      <c r="A57" s="10">
        <v>1065</v>
      </c>
      <c r="B57" s="10" t="s">
        <v>106</v>
      </c>
      <c r="C57" s="10" t="s">
        <v>49</v>
      </c>
      <c r="D57" s="11">
        <v>45768</v>
      </c>
      <c r="E57" s="12">
        <v>45768</v>
      </c>
      <c r="F57" s="13" t="s">
        <v>40</v>
      </c>
      <c r="G57" s="14">
        <v>10</v>
      </c>
      <c r="H57" s="13" t="s">
        <v>50</v>
      </c>
      <c r="I57" s="13" t="s">
        <v>45</v>
      </c>
      <c r="J57" s="14">
        <v>0</v>
      </c>
      <c r="K57" s="13" t="s">
        <v>40</v>
      </c>
      <c r="L57" s="14">
        <v>20</v>
      </c>
      <c r="M57" s="14">
        <f t="shared" si="0"/>
        <v>30</v>
      </c>
      <c r="N57" s="14">
        <v>15</v>
      </c>
      <c r="O57" s="10" t="s">
        <v>54</v>
      </c>
      <c r="P57" s="15">
        <f t="shared" si="1"/>
        <v>15</v>
      </c>
    </row>
    <row r="58" spans="1:16" x14ac:dyDescent="0.25">
      <c r="A58" s="9">
        <v>1066</v>
      </c>
      <c r="B58" s="10" t="s">
        <v>107</v>
      </c>
      <c r="C58" s="10" t="s">
        <v>44</v>
      </c>
      <c r="D58" s="11">
        <v>45769</v>
      </c>
      <c r="E58" s="12">
        <v>45769</v>
      </c>
      <c r="F58" s="13" t="s">
        <v>45</v>
      </c>
      <c r="G58" s="14">
        <v>5</v>
      </c>
      <c r="H58" s="13" t="s">
        <v>41</v>
      </c>
      <c r="I58" s="13" t="s">
        <v>45</v>
      </c>
      <c r="J58" s="14">
        <v>0</v>
      </c>
      <c r="K58" s="13" t="s">
        <v>45</v>
      </c>
      <c r="L58" s="14">
        <v>0</v>
      </c>
      <c r="M58" s="14">
        <f t="shared" si="0"/>
        <v>5</v>
      </c>
      <c r="N58" s="14">
        <v>1</v>
      </c>
      <c r="O58" s="10" t="s">
        <v>47</v>
      </c>
      <c r="P58" s="15">
        <f t="shared" si="1"/>
        <v>4</v>
      </c>
    </row>
    <row r="59" spans="1:16" x14ac:dyDescent="0.25">
      <c r="A59" s="10">
        <v>1067</v>
      </c>
      <c r="B59" s="10" t="s">
        <v>108</v>
      </c>
      <c r="C59" s="10" t="s">
        <v>39</v>
      </c>
      <c r="D59" s="11">
        <v>45770</v>
      </c>
      <c r="E59" s="12">
        <v>45770</v>
      </c>
      <c r="F59" s="13" t="s">
        <v>40</v>
      </c>
      <c r="G59" s="14">
        <v>15</v>
      </c>
      <c r="H59" s="13" t="s">
        <v>46</v>
      </c>
      <c r="I59" s="13" t="s">
        <v>40</v>
      </c>
      <c r="J59" s="14">
        <v>30</v>
      </c>
      <c r="K59" s="13" t="s">
        <v>40</v>
      </c>
      <c r="L59" s="14">
        <v>20</v>
      </c>
      <c r="M59" s="14">
        <f t="shared" si="0"/>
        <v>65</v>
      </c>
      <c r="N59" s="14">
        <v>3</v>
      </c>
      <c r="O59" s="10" t="s">
        <v>42</v>
      </c>
      <c r="P59" s="15">
        <f t="shared" si="1"/>
        <v>62</v>
      </c>
    </row>
    <row r="60" spans="1:16" x14ac:dyDescent="0.25">
      <c r="A60" s="9">
        <v>1068</v>
      </c>
      <c r="B60" s="10" t="s">
        <v>109</v>
      </c>
      <c r="C60" s="10" t="s">
        <v>49</v>
      </c>
      <c r="D60" s="11">
        <v>45771</v>
      </c>
      <c r="E60" s="12">
        <v>45771</v>
      </c>
      <c r="F60" s="13" t="s">
        <v>45</v>
      </c>
      <c r="G60" s="14">
        <v>10</v>
      </c>
      <c r="H60" s="13" t="s">
        <v>41</v>
      </c>
      <c r="I60" s="13" t="s">
        <v>45</v>
      </c>
      <c r="J60" s="14">
        <v>0</v>
      </c>
      <c r="K60" s="13" t="s">
        <v>40</v>
      </c>
      <c r="L60" s="14">
        <v>20</v>
      </c>
      <c r="M60" s="14">
        <f t="shared" si="0"/>
        <v>30</v>
      </c>
      <c r="N60" s="14">
        <v>10</v>
      </c>
      <c r="O60" s="10" t="s">
        <v>58</v>
      </c>
      <c r="P60" s="15">
        <f t="shared" si="1"/>
        <v>20</v>
      </c>
    </row>
    <row r="61" spans="1:16" x14ac:dyDescent="0.25">
      <c r="A61" s="10">
        <v>1069</v>
      </c>
      <c r="B61" s="10" t="s">
        <v>110</v>
      </c>
      <c r="C61" s="10" t="s">
        <v>44</v>
      </c>
      <c r="D61" s="11">
        <v>45772</v>
      </c>
      <c r="E61" s="12">
        <v>45772</v>
      </c>
      <c r="F61" s="13" t="s">
        <v>40</v>
      </c>
      <c r="G61" s="14">
        <v>5</v>
      </c>
      <c r="H61" s="13" t="s">
        <v>50</v>
      </c>
      <c r="I61" s="13" t="s">
        <v>45</v>
      </c>
      <c r="J61" s="14">
        <v>0</v>
      </c>
      <c r="K61" s="13" t="s">
        <v>45</v>
      </c>
      <c r="L61" s="14">
        <v>0</v>
      </c>
      <c r="M61" s="14">
        <f t="shared" si="0"/>
        <v>5</v>
      </c>
      <c r="N61" s="14">
        <v>0</v>
      </c>
      <c r="O61" s="10" t="s">
        <v>54</v>
      </c>
      <c r="P61" s="15">
        <f t="shared" si="1"/>
        <v>5</v>
      </c>
    </row>
    <row r="62" spans="1:16" x14ac:dyDescent="0.25">
      <c r="A62" s="9">
        <v>1070</v>
      </c>
      <c r="B62" s="10" t="s">
        <v>111</v>
      </c>
      <c r="C62" s="10" t="s">
        <v>39</v>
      </c>
      <c r="D62" s="11">
        <v>45773</v>
      </c>
      <c r="E62" s="12">
        <v>45773</v>
      </c>
      <c r="F62" s="13" t="s">
        <v>45</v>
      </c>
      <c r="G62" s="14">
        <v>15</v>
      </c>
      <c r="H62" s="13" t="s">
        <v>41</v>
      </c>
      <c r="I62" s="13" t="s">
        <v>40</v>
      </c>
      <c r="J62" s="14">
        <v>30</v>
      </c>
      <c r="K62" s="13" t="s">
        <v>40</v>
      </c>
      <c r="L62" s="14">
        <v>20</v>
      </c>
      <c r="M62" s="14">
        <f t="shared" si="0"/>
        <v>65</v>
      </c>
      <c r="N62" s="14">
        <v>5</v>
      </c>
      <c r="O62" s="10" t="s">
        <v>47</v>
      </c>
      <c r="P62" s="15">
        <f t="shared" si="1"/>
        <v>60</v>
      </c>
    </row>
    <row r="63" spans="1:16" x14ac:dyDescent="0.25">
      <c r="A63" s="10">
        <v>1071</v>
      </c>
      <c r="B63" s="10" t="s">
        <v>112</v>
      </c>
      <c r="C63" s="10" t="s">
        <v>49</v>
      </c>
      <c r="D63" s="11">
        <v>45774</v>
      </c>
      <c r="E63" s="12">
        <v>45774</v>
      </c>
      <c r="F63" s="13" t="s">
        <v>40</v>
      </c>
      <c r="G63" s="14">
        <v>10</v>
      </c>
      <c r="H63" s="13" t="s">
        <v>46</v>
      </c>
      <c r="I63" s="13" t="s">
        <v>45</v>
      </c>
      <c r="J63" s="14">
        <v>0</v>
      </c>
      <c r="K63" s="13" t="s">
        <v>40</v>
      </c>
      <c r="L63" s="14">
        <v>20</v>
      </c>
      <c r="M63" s="14">
        <f t="shared" si="0"/>
        <v>30</v>
      </c>
      <c r="N63" s="14">
        <v>15</v>
      </c>
      <c r="O63" s="10" t="s">
        <v>54</v>
      </c>
      <c r="P63" s="15">
        <f t="shared" si="1"/>
        <v>15</v>
      </c>
    </row>
    <row r="64" spans="1:16" x14ac:dyDescent="0.25">
      <c r="A64" s="9">
        <v>1072</v>
      </c>
      <c r="B64" s="10" t="s">
        <v>113</v>
      </c>
      <c r="C64" s="10" t="s">
        <v>44</v>
      </c>
      <c r="D64" s="11">
        <v>45775</v>
      </c>
      <c r="E64" s="12">
        <v>45775</v>
      </c>
      <c r="F64" s="13" t="s">
        <v>45</v>
      </c>
      <c r="G64" s="14">
        <v>5</v>
      </c>
      <c r="H64" s="13" t="s">
        <v>41</v>
      </c>
      <c r="I64" s="13" t="s">
        <v>45</v>
      </c>
      <c r="J64" s="14">
        <v>0</v>
      </c>
      <c r="K64" s="13" t="s">
        <v>45</v>
      </c>
      <c r="L64" s="14">
        <v>0</v>
      </c>
      <c r="M64" s="14">
        <f t="shared" si="0"/>
        <v>5</v>
      </c>
      <c r="N64" s="14">
        <v>1</v>
      </c>
      <c r="O64" s="10" t="s">
        <v>54</v>
      </c>
      <c r="P64" s="15">
        <f t="shared" si="1"/>
        <v>4</v>
      </c>
    </row>
    <row r="65" spans="1:16" x14ac:dyDescent="0.25">
      <c r="A65" s="10">
        <v>1073</v>
      </c>
      <c r="B65" s="10" t="s">
        <v>114</v>
      </c>
      <c r="C65" s="10" t="s">
        <v>39</v>
      </c>
      <c r="D65" s="11">
        <v>45776</v>
      </c>
      <c r="E65" s="12">
        <v>45776</v>
      </c>
      <c r="F65" s="13" t="s">
        <v>40</v>
      </c>
      <c r="G65" s="14">
        <v>15</v>
      </c>
      <c r="H65" s="13" t="s">
        <v>50</v>
      </c>
      <c r="I65" s="13" t="s">
        <v>40</v>
      </c>
      <c r="J65" s="14">
        <v>30</v>
      </c>
      <c r="K65" s="13" t="s">
        <v>40</v>
      </c>
      <c r="L65" s="14">
        <v>20</v>
      </c>
      <c r="M65" s="14">
        <f t="shared" si="0"/>
        <v>65</v>
      </c>
      <c r="N65" s="14">
        <v>20</v>
      </c>
      <c r="O65" s="10" t="s">
        <v>47</v>
      </c>
      <c r="P65" s="15">
        <f t="shared" si="1"/>
        <v>45</v>
      </c>
    </row>
    <row r="66" spans="1:16" x14ac:dyDescent="0.25">
      <c r="A66" s="9">
        <v>1074</v>
      </c>
      <c r="B66" s="10" t="s">
        <v>115</v>
      </c>
      <c r="C66" s="10" t="s">
        <v>49</v>
      </c>
      <c r="D66" s="11">
        <v>45777</v>
      </c>
      <c r="E66" s="12">
        <v>45777</v>
      </c>
      <c r="F66" s="13" t="s">
        <v>45</v>
      </c>
      <c r="G66" s="14">
        <v>10</v>
      </c>
      <c r="H66" s="13" t="s">
        <v>41</v>
      </c>
      <c r="I66" s="13" t="s">
        <v>45</v>
      </c>
      <c r="J66" s="14">
        <v>0</v>
      </c>
      <c r="K66" s="13" t="s">
        <v>40</v>
      </c>
      <c r="L66" s="14">
        <v>20</v>
      </c>
      <c r="M66" s="14">
        <f t="shared" si="0"/>
        <v>30</v>
      </c>
      <c r="N66" s="14">
        <v>5</v>
      </c>
      <c r="O66" s="10" t="s">
        <v>47</v>
      </c>
      <c r="P66" s="15">
        <f t="shared" si="1"/>
        <v>25</v>
      </c>
    </row>
    <row r="67" spans="1:16" x14ac:dyDescent="0.25">
      <c r="A67" s="10">
        <v>1075</v>
      </c>
      <c r="B67" s="10" t="s">
        <v>116</v>
      </c>
      <c r="C67" s="10" t="s">
        <v>44</v>
      </c>
      <c r="D67" s="11">
        <v>45778</v>
      </c>
      <c r="E67" s="12">
        <v>45778</v>
      </c>
      <c r="F67" s="13" t="s">
        <v>45</v>
      </c>
      <c r="G67" s="14">
        <v>5</v>
      </c>
      <c r="H67" s="13" t="s">
        <v>41</v>
      </c>
      <c r="I67" s="13" t="s">
        <v>45</v>
      </c>
      <c r="J67" s="14">
        <v>0</v>
      </c>
      <c r="K67" s="13" t="s">
        <v>45</v>
      </c>
      <c r="L67" s="14">
        <v>0</v>
      </c>
      <c r="M67" s="14">
        <f t="shared" ref="M67:M130" si="2">G67+J67+L67</f>
        <v>5</v>
      </c>
      <c r="N67" s="14">
        <v>0</v>
      </c>
      <c r="O67" s="10" t="s">
        <v>51</v>
      </c>
      <c r="P67" s="15">
        <f t="shared" ref="P67:P130" si="3">G67+J67+L67-N67</f>
        <v>5</v>
      </c>
    </row>
    <row r="68" spans="1:16" x14ac:dyDescent="0.25">
      <c r="A68" s="9">
        <v>1076</v>
      </c>
      <c r="B68" s="10" t="s">
        <v>117</v>
      </c>
      <c r="C68" s="10" t="s">
        <v>39</v>
      </c>
      <c r="D68" s="11">
        <v>45779</v>
      </c>
      <c r="E68" s="12">
        <v>45779</v>
      </c>
      <c r="F68" s="13" t="s">
        <v>40</v>
      </c>
      <c r="G68" s="14">
        <v>15</v>
      </c>
      <c r="H68" s="13" t="s">
        <v>50</v>
      </c>
      <c r="I68" s="13" t="s">
        <v>40</v>
      </c>
      <c r="J68" s="14">
        <v>30</v>
      </c>
      <c r="K68" s="13" t="s">
        <v>40</v>
      </c>
      <c r="L68" s="14">
        <v>20</v>
      </c>
      <c r="M68" s="14">
        <f t="shared" si="2"/>
        <v>65</v>
      </c>
      <c r="N68" s="14">
        <v>7</v>
      </c>
      <c r="O68" s="10" t="s">
        <v>47</v>
      </c>
      <c r="P68" s="15">
        <f t="shared" si="3"/>
        <v>58</v>
      </c>
    </row>
    <row r="69" spans="1:16" x14ac:dyDescent="0.25">
      <c r="A69" s="10">
        <v>1077</v>
      </c>
      <c r="B69" s="10" t="s">
        <v>118</v>
      </c>
      <c r="C69" s="10" t="s">
        <v>49</v>
      </c>
      <c r="D69" s="11">
        <v>45780</v>
      </c>
      <c r="E69" s="12">
        <v>45780</v>
      </c>
      <c r="F69" s="13" t="s">
        <v>45</v>
      </c>
      <c r="G69" s="14">
        <v>10</v>
      </c>
      <c r="H69" s="13" t="s">
        <v>46</v>
      </c>
      <c r="I69" s="13" t="s">
        <v>45</v>
      </c>
      <c r="J69" s="14">
        <v>0</v>
      </c>
      <c r="K69" s="13" t="s">
        <v>40</v>
      </c>
      <c r="L69" s="14">
        <v>20</v>
      </c>
      <c r="M69" s="14">
        <f t="shared" si="2"/>
        <v>30</v>
      </c>
      <c r="N69" s="14">
        <v>10</v>
      </c>
      <c r="O69" s="10" t="s">
        <v>58</v>
      </c>
      <c r="P69" s="15">
        <f t="shared" si="3"/>
        <v>20</v>
      </c>
    </row>
    <row r="70" spans="1:16" x14ac:dyDescent="0.25">
      <c r="A70" s="9">
        <v>1078</v>
      </c>
      <c r="B70" s="10" t="s">
        <v>119</v>
      </c>
      <c r="C70" s="10" t="s">
        <v>44</v>
      </c>
      <c r="D70" s="11">
        <v>45781</v>
      </c>
      <c r="E70" s="12">
        <v>45781</v>
      </c>
      <c r="F70" s="13" t="s">
        <v>40</v>
      </c>
      <c r="G70" s="14">
        <v>5</v>
      </c>
      <c r="H70" s="13" t="s">
        <v>50</v>
      </c>
      <c r="I70" s="13" t="s">
        <v>45</v>
      </c>
      <c r="J70" s="14">
        <v>0</v>
      </c>
      <c r="K70" s="13" t="s">
        <v>45</v>
      </c>
      <c r="L70" s="14">
        <v>0</v>
      </c>
      <c r="M70" s="14">
        <f t="shared" si="2"/>
        <v>5</v>
      </c>
      <c r="N70" s="14">
        <v>1</v>
      </c>
      <c r="O70" s="10" t="s">
        <v>47</v>
      </c>
      <c r="P70" s="15">
        <f t="shared" si="3"/>
        <v>4</v>
      </c>
    </row>
    <row r="71" spans="1:16" x14ac:dyDescent="0.25">
      <c r="A71" s="10">
        <v>1079</v>
      </c>
      <c r="B71" s="10" t="s">
        <v>120</v>
      </c>
      <c r="C71" s="10" t="s">
        <v>39</v>
      </c>
      <c r="D71" s="11">
        <v>45782</v>
      </c>
      <c r="E71" s="12">
        <v>45782</v>
      </c>
      <c r="F71" s="13" t="s">
        <v>45</v>
      </c>
      <c r="G71" s="14">
        <v>15</v>
      </c>
      <c r="H71" s="13" t="s">
        <v>41</v>
      </c>
      <c r="I71" s="13" t="s">
        <v>40</v>
      </c>
      <c r="J71" s="14">
        <v>30</v>
      </c>
      <c r="K71" s="13" t="s">
        <v>40</v>
      </c>
      <c r="L71" s="14">
        <v>20</v>
      </c>
      <c r="M71" s="14">
        <f t="shared" si="2"/>
        <v>65</v>
      </c>
      <c r="N71" s="14">
        <v>15</v>
      </c>
      <c r="O71" s="10" t="s">
        <v>51</v>
      </c>
      <c r="P71" s="15">
        <f t="shared" si="3"/>
        <v>50</v>
      </c>
    </row>
    <row r="72" spans="1:16" x14ac:dyDescent="0.25">
      <c r="A72" s="9">
        <v>1080</v>
      </c>
      <c r="B72" s="10" t="s">
        <v>121</v>
      </c>
      <c r="C72" s="10" t="s">
        <v>49</v>
      </c>
      <c r="D72" s="11">
        <v>45783</v>
      </c>
      <c r="E72" s="12">
        <v>45783</v>
      </c>
      <c r="F72" s="13" t="s">
        <v>40</v>
      </c>
      <c r="G72" s="14">
        <v>10</v>
      </c>
      <c r="H72" s="13" t="s">
        <v>41</v>
      </c>
      <c r="I72" s="13" t="s">
        <v>45</v>
      </c>
      <c r="J72" s="14">
        <v>0</v>
      </c>
      <c r="K72" s="13" t="s">
        <v>40</v>
      </c>
      <c r="L72" s="14">
        <v>20</v>
      </c>
      <c r="M72" s="14">
        <f t="shared" si="2"/>
        <v>30</v>
      </c>
      <c r="N72" s="14">
        <v>5</v>
      </c>
      <c r="O72" s="10" t="s">
        <v>47</v>
      </c>
      <c r="P72" s="15">
        <f t="shared" si="3"/>
        <v>25</v>
      </c>
    </row>
    <row r="73" spans="1:16" x14ac:dyDescent="0.25">
      <c r="A73" s="10">
        <v>1081</v>
      </c>
      <c r="B73" s="10" t="s">
        <v>122</v>
      </c>
      <c r="C73" s="10" t="s">
        <v>44</v>
      </c>
      <c r="D73" s="11">
        <v>45784</v>
      </c>
      <c r="E73" s="12">
        <v>45784</v>
      </c>
      <c r="F73" s="13" t="s">
        <v>45</v>
      </c>
      <c r="G73" s="14">
        <v>5</v>
      </c>
      <c r="H73" s="13" t="s">
        <v>46</v>
      </c>
      <c r="I73" s="13" t="s">
        <v>45</v>
      </c>
      <c r="J73" s="14">
        <v>0</v>
      </c>
      <c r="K73" s="13" t="s">
        <v>45</v>
      </c>
      <c r="L73" s="14">
        <v>0</v>
      </c>
      <c r="M73" s="14">
        <f t="shared" si="2"/>
        <v>5</v>
      </c>
      <c r="N73" s="14">
        <v>0</v>
      </c>
      <c r="O73" s="10" t="s">
        <v>51</v>
      </c>
      <c r="P73" s="15">
        <f t="shared" si="3"/>
        <v>5</v>
      </c>
    </row>
    <row r="74" spans="1:16" x14ac:dyDescent="0.25">
      <c r="A74" s="9">
        <v>1082</v>
      </c>
      <c r="B74" s="10" t="s">
        <v>123</v>
      </c>
      <c r="C74" s="10" t="s">
        <v>39</v>
      </c>
      <c r="D74" s="11">
        <v>45785</v>
      </c>
      <c r="E74" s="12">
        <v>45785</v>
      </c>
      <c r="F74" s="13" t="s">
        <v>40</v>
      </c>
      <c r="G74" s="14">
        <v>15</v>
      </c>
      <c r="H74" s="13" t="s">
        <v>50</v>
      </c>
      <c r="I74" s="13" t="s">
        <v>40</v>
      </c>
      <c r="J74" s="14">
        <v>30</v>
      </c>
      <c r="K74" s="13" t="s">
        <v>40</v>
      </c>
      <c r="L74" s="14">
        <v>20</v>
      </c>
      <c r="M74" s="14">
        <f t="shared" si="2"/>
        <v>65</v>
      </c>
      <c r="N74" s="14">
        <v>20</v>
      </c>
      <c r="O74" s="10" t="s">
        <v>51</v>
      </c>
      <c r="P74" s="15">
        <f t="shared" si="3"/>
        <v>45</v>
      </c>
    </row>
    <row r="75" spans="1:16" x14ac:dyDescent="0.25">
      <c r="A75" s="10">
        <v>1083</v>
      </c>
      <c r="B75" s="10" t="s">
        <v>124</v>
      </c>
      <c r="C75" s="10" t="s">
        <v>49</v>
      </c>
      <c r="D75" s="11">
        <v>45786</v>
      </c>
      <c r="E75" s="12">
        <v>45786</v>
      </c>
      <c r="F75" s="13" t="s">
        <v>45</v>
      </c>
      <c r="G75" s="14">
        <v>10</v>
      </c>
      <c r="H75" s="13" t="s">
        <v>50</v>
      </c>
      <c r="I75" s="13" t="s">
        <v>45</v>
      </c>
      <c r="J75" s="14">
        <v>0</v>
      </c>
      <c r="K75" s="13" t="s">
        <v>40</v>
      </c>
      <c r="L75" s="14">
        <v>20</v>
      </c>
      <c r="M75" s="14">
        <f t="shared" si="2"/>
        <v>30</v>
      </c>
      <c r="N75" s="14">
        <v>12</v>
      </c>
      <c r="O75" s="10" t="s">
        <v>47</v>
      </c>
      <c r="P75" s="15">
        <f t="shared" si="3"/>
        <v>18</v>
      </c>
    </row>
    <row r="76" spans="1:16" x14ac:dyDescent="0.25">
      <c r="A76" s="9">
        <v>1084</v>
      </c>
      <c r="B76" s="10" t="s">
        <v>125</v>
      </c>
      <c r="C76" s="10" t="s">
        <v>44</v>
      </c>
      <c r="D76" s="11">
        <v>45787</v>
      </c>
      <c r="E76" s="12">
        <v>45787</v>
      </c>
      <c r="F76" s="13" t="s">
        <v>40</v>
      </c>
      <c r="G76" s="14">
        <v>5</v>
      </c>
      <c r="H76" s="13" t="s">
        <v>41</v>
      </c>
      <c r="I76" s="13" t="s">
        <v>45</v>
      </c>
      <c r="J76" s="14">
        <v>0</v>
      </c>
      <c r="K76" s="13" t="s">
        <v>45</v>
      </c>
      <c r="L76" s="14">
        <v>0</v>
      </c>
      <c r="M76" s="14">
        <f t="shared" si="2"/>
        <v>5</v>
      </c>
      <c r="N76" s="14">
        <v>2</v>
      </c>
      <c r="O76" s="10" t="s">
        <v>51</v>
      </c>
      <c r="P76" s="15">
        <f t="shared" si="3"/>
        <v>3</v>
      </c>
    </row>
    <row r="77" spans="1:16" x14ac:dyDescent="0.25">
      <c r="A77" s="10">
        <v>1085</v>
      </c>
      <c r="B77" s="10" t="s">
        <v>126</v>
      </c>
      <c r="C77" s="10" t="s">
        <v>39</v>
      </c>
      <c r="D77" s="11">
        <v>45788</v>
      </c>
      <c r="E77" s="12">
        <v>45788</v>
      </c>
      <c r="F77" s="13" t="s">
        <v>45</v>
      </c>
      <c r="G77" s="14">
        <v>15</v>
      </c>
      <c r="H77" s="13" t="s">
        <v>46</v>
      </c>
      <c r="I77" s="13" t="s">
        <v>40</v>
      </c>
      <c r="J77" s="14">
        <v>30</v>
      </c>
      <c r="K77" s="13" t="s">
        <v>40</v>
      </c>
      <c r="L77" s="14">
        <v>20</v>
      </c>
      <c r="M77" s="14">
        <f t="shared" si="2"/>
        <v>65</v>
      </c>
      <c r="N77" s="14">
        <v>5</v>
      </c>
      <c r="O77" s="10" t="s">
        <v>58</v>
      </c>
      <c r="P77" s="15">
        <f t="shared" si="3"/>
        <v>60</v>
      </c>
    </row>
    <row r="78" spans="1:16" x14ac:dyDescent="0.25">
      <c r="A78" s="9">
        <v>1086</v>
      </c>
      <c r="B78" s="10" t="s">
        <v>127</v>
      </c>
      <c r="C78" s="10" t="s">
        <v>49</v>
      </c>
      <c r="D78" s="11">
        <v>45789</v>
      </c>
      <c r="E78" s="12">
        <v>45789</v>
      </c>
      <c r="F78" s="13" t="s">
        <v>40</v>
      </c>
      <c r="G78" s="14">
        <v>10</v>
      </c>
      <c r="H78" s="13" t="s">
        <v>41</v>
      </c>
      <c r="I78" s="13" t="s">
        <v>45</v>
      </c>
      <c r="J78" s="14">
        <v>0</v>
      </c>
      <c r="K78" s="13" t="s">
        <v>40</v>
      </c>
      <c r="L78" s="14">
        <v>20</v>
      </c>
      <c r="M78" s="14">
        <f t="shared" si="2"/>
        <v>30</v>
      </c>
      <c r="N78" s="14">
        <v>10</v>
      </c>
      <c r="O78" s="10" t="s">
        <v>54</v>
      </c>
      <c r="P78" s="15">
        <f t="shared" si="3"/>
        <v>20</v>
      </c>
    </row>
    <row r="79" spans="1:16" x14ac:dyDescent="0.25">
      <c r="A79" s="10">
        <v>1087</v>
      </c>
      <c r="B79" s="10" t="s">
        <v>128</v>
      </c>
      <c r="C79" s="10" t="s">
        <v>44</v>
      </c>
      <c r="D79" s="11">
        <v>45790</v>
      </c>
      <c r="E79" s="12">
        <v>45790</v>
      </c>
      <c r="F79" s="13" t="s">
        <v>45</v>
      </c>
      <c r="G79" s="14">
        <v>5</v>
      </c>
      <c r="H79" s="13" t="s">
        <v>50</v>
      </c>
      <c r="I79" s="13" t="s">
        <v>45</v>
      </c>
      <c r="J79" s="14">
        <v>0</v>
      </c>
      <c r="K79" s="13" t="s">
        <v>45</v>
      </c>
      <c r="L79" s="14">
        <v>0</v>
      </c>
      <c r="M79" s="14">
        <f t="shared" si="2"/>
        <v>5</v>
      </c>
      <c r="N79" s="14">
        <v>0</v>
      </c>
      <c r="O79" s="10" t="s">
        <v>58</v>
      </c>
      <c r="P79" s="15">
        <f t="shared" si="3"/>
        <v>5</v>
      </c>
    </row>
    <row r="80" spans="1:16" x14ac:dyDescent="0.25">
      <c r="A80" s="9">
        <v>1088</v>
      </c>
      <c r="B80" s="10" t="s">
        <v>129</v>
      </c>
      <c r="C80" s="10" t="s">
        <v>39</v>
      </c>
      <c r="D80" s="11">
        <v>45791</v>
      </c>
      <c r="E80" s="12">
        <v>45791</v>
      </c>
      <c r="F80" s="13" t="s">
        <v>40</v>
      </c>
      <c r="G80" s="14">
        <v>15</v>
      </c>
      <c r="H80" s="13" t="s">
        <v>41</v>
      </c>
      <c r="I80" s="13" t="s">
        <v>40</v>
      </c>
      <c r="J80" s="14">
        <v>30</v>
      </c>
      <c r="K80" s="13" t="s">
        <v>40</v>
      </c>
      <c r="L80" s="14">
        <v>20</v>
      </c>
      <c r="M80" s="14">
        <f t="shared" si="2"/>
        <v>65</v>
      </c>
      <c r="N80" s="14">
        <v>3</v>
      </c>
      <c r="O80" s="10" t="s">
        <v>58</v>
      </c>
      <c r="P80" s="15">
        <f t="shared" si="3"/>
        <v>62</v>
      </c>
    </row>
    <row r="81" spans="1:16" x14ac:dyDescent="0.25">
      <c r="A81" s="10">
        <v>1089</v>
      </c>
      <c r="B81" s="10" t="s">
        <v>130</v>
      </c>
      <c r="C81" s="10" t="s">
        <v>49</v>
      </c>
      <c r="D81" s="11">
        <v>45792</v>
      </c>
      <c r="E81" s="12">
        <v>45792</v>
      </c>
      <c r="F81" s="13" t="s">
        <v>45</v>
      </c>
      <c r="G81" s="14">
        <v>10</v>
      </c>
      <c r="H81" s="13" t="s">
        <v>46</v>
      </c>
      <c r="I81" s="13" t="s">
        <v>45</v>
      </c>
      <c r="J81" s="14">
        <v>0</v>
      </c>
      <c r="K81" s="13" t="s">
        <v>40</v>
      </c>
      <c r="L81" s="14">
        <v>20</v>
      </c>
      <c r="M81" s="14">
        <f t="shared" si="2"/>
        <v>30</v>
      </c>
      <c r="N81" s="14">
        <v>15</v>
      </c>
      <c r="O81" s="10" t="s">
        <v>58</v>
      </c>
      <c r="P81" s="15">
        <f t="shared" si="3"/>
        <v>15</v>
      </c>
    </row>
    <row r="82" spans="1:16" x14ac:dyDescent="0.25">
      <c r="A82" s="9">
        <v>1090</v>
      </c>
      <c r="B82" s="10" t="s">
        <v>131</v>
      </c>
      <c r="C82" s="10" t="s">
        <v>44</v>
      </c>
      <c r="D82" s="11">
        <v>45793</v>
      </c>
      <c r="E82" s="12">
        <v>45793</v>
      </c>
      <c r="F82" s="13" t="s">
        <v>40</v>
      </c>
      <c r="G82" s="14">
        <v>5</v>
      </c>
      <c r="H82" s="13" t="s">
        <v>41</v>
      </c>
      <c r="I82" s="13" t="s">
        <v>45</v>
      </c>
      <c r="J82" s="14">
        <v>0</v>
      </c>
      <c r="K82" s="13" t="s">
        <v>45</v>
      </c>
      <c r="L82" s="14">
        <v>0</v>
      </c>
      <c r="M82" s="14">
        <f t="shared" si="2"/>
        <v>5</v>
      </c>
      <c r="N82" s="14">
        <v>1</v>
      </c>
      <c r="O82" s="10" t="s">
        <v>47</v>
      </c>
      <c r="P82" s="15">
        <f t="shared" si="3"/>
        <v>4</v>
      </c>
    </row>
    <row r="83" spans="1:16" x14ac:dyDescent="0.25">
      <c r="A83" s="10">
        <v>1091</v>
      </c>
      <c r="B83" s="10" t="s">
        <v>132</v>
      </c>
      <c r="C83" s="10" t="s">
        <v>39</v>
      </c>
      <c r="D83" s="11">
        <v>45794</v>
      </c>
      <c r="E83" s="12">
        <v>45794</v>
      </c>
      <c r="F83" s="13" t="s">
        <v>45</v>
      </c>
      <c r="G83" s="14">
        <v>15</v>
      </c>
      <c r="H83" s="13" t="s">
        <v>50</v>
      </c>
      <c r="I83" s="13" t="s">
        <v>40</v>
      </c>
      <c r="J83" s="14">
        <v>30</v>
      </c>
      <c r="K83" s="13" t="s">
        <v>40</v>
      </c>
      <c r="L83" s="14">
        <v>20</v>
      </c>
      <c r="M83" s="14">
        <f t="shared" si="2"/>
        <v>65</v>
      </c>
      <c r="N83" s="14">
        <v>7</v>
      </c>
      <c r="O83" s="10" t="s">
        <v>51</v>
      </c>
      <c r="P83" s="15">
        <f t="shared" si="3"/>
        <v>58</v>
      </c>
    </row>
    <row r="84" spans="1:16" x14ac:dyDescent="0.25">
      <c r="A84" s="9">
        <v>1092</v>
      </c>
      <c r="B84" s="10" t="s">
        <v>133</v>
      </c>
      <c r="C84" s="10" t="s">
        <v>49</v>
      </c>
      <c r="D84" s="11">
        <v>45795</v>
      </c>
      <c r="E84" s="12">
        <v>45795</v>
      </c>
      <c r="F84" s="13" t="s">
        <v>40</v>
      </c>
      <c r="G84" s="14">
        <v>10</v>
      </c>
      <c r="H84" s="13" t="s">
        <v>41</v>
      </c>
      <c r="I84" s="13" t="s">
        <v>45</v>
      </c>
      <c r="J84" s="14">
        <v>0</v>
      </c>
      <c r="K84" s="13" t="s">
        <v>40</v>
      </c>
      <c r="L84" s="14">
        <v>20</v>
      </c>
      <c r="M84" s="14">
        <f t="shared" si="2"/>
        <v>30</v>
      </c>
      <c r="N84" s="14">
        <v>10</v>
      </c>
      <c r="O84" s="10" t="s">
        <v>54</v>
      </c>
      <c r="P84" s="15">
        <f t="shared" si="3"/>
        <v>20</v>
      </c>
    </row>
    <row r="85" spans="1:16" x14ac:dyDescent="0.25">
      <c r="A85" s="10">
        <v>1093</v>
      </c>
      <c r="B85" s="10" t="s">
        <v>134</v>
      </c>
      <c r="C85" s="10" t="s">
        <v>44</v>
      </c>
      <c r="D85" s="11">
        <v>45796</v>
      </c>
      <c r="E85" s="12">
        <v>45796</v>
      </c>
      <c r="F85" s="13" t="s">
        <v>45</v>
      </c>
      <c r="G85" s="14">
        <v>5</v>
      </c>
      <c r="H85" s="13" t="s">
        <v>46</v>
      </c>
      <c r="I85" s="13" t="s">
        <v>45</v>
      </c>
      <c r="J85" s="14">
        <v>0</v>
      </c>
      <c r="K85" s="13" t="s">
        <v>45</v>
      </c>
      <c r="L85" s="14">
        <v>0</v>
      </c>
      <c r="M85" s="14">
        <f t="shared" si="2"/>
        <v>5</v>
      </c>
      <c r="N85" s="14">
        <v>0</v>
      </c>
      <c r="O85" s="10" t="s">
        <v>58</v>
      </c>
      <c r="P85" s="15">
        <f t="shared" si="3"/>
        <v>5</v>
      </c>
    </row>
    <row r="86" spans="1:16" x14ac:dyDescent="0.25">
      <c r="A86" s="9">
        <v>1094</v>
      </c>
      <c r="B86" s="10" t="s">
        <v>135</v>
      </c>
      <c r="C86" s="10" t="s">
        <v>39</v>
      </c>
      <c r="D86" s="11">
        <v>45797</v>
      </c>
      <c r="E86" s="12">
        <v>45797</v>
      </c>
      <c r="F86" s="13" t="s">
        <v>40</v>
      </c>
      <c r="G86" s="14">
        <v>15</v>
      </c>
      <c r="H86" s="13" t="s">
        <v>41</v>
      </c>
      <c r="I86" s="13" t="s">
        <v>40</v>
      </c>
      <c r="J86" s="14">
        <v>30</v>
      </c>
      <c r="K86" s="13" t="s">
        <v>40</v>
      </c>
      <c r="L86" s="14">
        <v>20</v>
      </c>
      <c r="M86" s="14">
        <f t="shared" si="2"/>
        <v>65</v>
      </c>
      <c r="N86" s="14">
        <v>20</v>
      </c>
      <c r="O86" s="10" t="s">
        <v>58</v>
      </c>
      <c r="P86" s="15">
        <f t="shared" si="3"/>
        <v>45</v>
      </c>
    </row>
    <row r="87" spans="1:16" x14ac:dyDescent="0.25">
      <c r="A87" s="10">
        <v>1095</v>
      </c>
      <c r="B87" s="10" t="s">
        <v>136</v>
      </c>
      <c r="C87" s="10" t="s">
        <v>49</v>
      </c>
      <c r="D87" s="11">
        <v>45798</v>
      </c>
      <c r="E87" s="12">
        <v>45798</v>
      </c>
      <c r="F87" s="13" t="s">
        <v>45</v>
      </c>
      <c r="G87" s="14">
        <v>10</v>
      </c>
      <c r="H87" s="13" t="s">
        <v>50</v>
      </c>
      <c r="I87" s="13" t="s">
        <v>45</v>
      </c>
      <c r="J87" s="14">
        <v>0</v>
      </c>
      <c r="K87" s="13" t="s">
        <v>40</v>
      </c>
      <c r="L87" s="14">
        <v>20</v>
      </c>
      <c r="M87" s="14">
        <f t="shared" si="2"/>
        <v>30</v>
      </c>
      <c r="N87" s="14">
        <v>15</v>
      </c>
      <c r="O87" s="10" t="s">
        <v>42</v>
      </c>
      <c r="P87" s="15">
        <f t="shared" si="3"/>
        <v>15</v>
      </c>
    </row>
    <row r="88" spans="1:16" x14ac:dyDescent="0.25">
      <c r="A88" s="9">
        <v>1096</v>
      </c>
      <c r="B88" s="10" t="s">
        <v>137</v>
      </c>
      <c r="C88" s="10" t="s">
        <v>44</v>
      </c>
      <c r="D88" s="11">
        <v>45799</v>
      </c>
      <c r="E88" s="12">
        <v>45799</v>
      </c>
      <c r="F88" s="13" t="s">
        <v>40</v>
      </c>
      <c r="G88" s="14">
        <v>5</v>
      </c>
      <c r="H88" s="13" t="s">
        <v>41</v>
      </c>
      <c r="I88" s="13" t="s">
        <v>45</v>
      </c>
      <c r="J88" s="14">
        <v>0</v>
      </c>
      <c r="K88" s="13" t="s">
        <v>45</v>
      </c>
      <c r="L88" s="14">
        <v>0</v>
      </c>
      <c r="M88" s="14">
        <f t="shared" si="2"/>
        <v>5</v>
      </c>
      <c r="N88" s="14">
        <v>1</v>
      </c>
      <c r="O88" s="10" t="s">
        <v>54</v>
      </c>
      <c r="P88" s="15">
        <f t="shared" si="3"/>
        <v>4</v>
      </c>
    </row>
    <row r="89" spans="1:16" x14ac:dyDescent="0.25">
      <c r="A89" s="10">
        <v>1097</v>
      </c>
      <c r="B89" s="10" t="s">
        <v>138</v>
      </c>
      <c r="C89" s="10" t="s">
        <v>39</v>
      </c>
      <c r="D89" s="11">
        <v>45800</v>
      </c>
      <c r="E89" s="12">
        <v>45800</v>
      </c>
      <c r="F89" s="13" t="s">
        <v>45</v>
      </c>
      <c r="G89" s="14">
        <v>15</v>
      </c>
      <c r="H89" s="13" t="s">
        <v>46</v>
      </c>
      <c r="I89" s="13" t="s">
        <v>40</v>
      </c>
      <c r="J89" s="14">
        <v>30</v>
      </c>
      <c r="K89" s="13" t="s">
        <v>40</v>
      </c>
      <c r="L89" s="14">
        <v>20</v>
      </c>
      <c r="M89" s="14">
        <f t="shared" si="2"/>
        <v>65</v>
      </c>
      <c r="N89" s="14">
        <v>3</v>
      </c>
      <c r="O89" s="10" t="s">
        <v>47</v>
      </c>
      <c r="P89" s="15">
        <f t="shared" si="3"/>
        <v>62</v>
      </c>
    </row>
    <row r="90" spans="1:16" x14ac:dyDescent="0.25">
      <c r="A90" s="9">
        <v>1098</v>
      </c>
      <c r="B90" s="10" t="s">
        <v>139</v>
      </c>
      <c r="C90" s="10" t="s">
        <v>49</v>
      </c>
      <c r="D90" s="11">
        <v>45801</v>
      </c>
      <c r="E90" s="12">
        <v>45801</v>
      </c>
      <c r="F90" s="13" t="s">
        <v>40</v>
      </c>
      <c r="G90" s="14">
        <v>10</v>
      </c>
      <c r="H90" s="13" t="s">
        <v>41</v>
      </c>
      <c r="I90" s="13" t="s">
        <v>45</v>
      </c>
      <c r="J90" s="14">
        <v>0</v>
      </c>
      <c r="K90" s="13" t="s">
        <v>40</v>
      </c>
      <c r="L90" s="14">
        <v>20</v>
      </c>
      <c r="M90" s="14">
        <f t="shared" si="2"/>
        <v>30</v>
      </c>
      <c r="N90" s="14">
        <v>10</v>
      </c>
      <c r="O90" s="10" t="s">
        <v>42</v>
      </c>
      <c r="P90" s="15">
        <f t="shared" si="3"/>
        <v>20</v>
      </c>
    </row>
    <row r="91" spans="1:16" x14ac:dyDescent="0.25">
      <c r="A91" s="10">
        <v>1099</v>
      </c>
      <c r="B91" s="10" t="s">
        <v>140</v>
      </c>
      <c r="C91" s="10" t="s">
        <v>44</v>
      </c>
      <c r="D91" s="11">
        <v>45802</v>
      </c>
      <c r="E91" s="12">
        <v>45802</v>
      </c>
      <c r="F91" s="13" t="s">
        <v>45</v>
      </c>
      <c r="G91" s="14">
        <v>5</v>
      </c>
      <c r="H91" s="13" t="s">
        <v>50</v>
      </c>
      <c r="I91" s="13" t="s">
        <v>45</v>
      </c>
      <c r="J91" s="14">
        <v>0</v>
      </c>
      <c r="K91" s="13" t="s">
        <v>45</v>
      </c>
      <c r="L91" s="14">
        <v>0</v>
      </c>
      <c r="M91" s="14">
        <f t="shared" si="2"/>
        <v>5</v>
      </c>
      <c r="N91" s="14">
        <v>0</v>
      </c>
      <c r="O91" s="10" t="s">
        <v>42</v>
      </c>
      <c r="P91" s="15">
        <f t="shared" si="3"/>
        <v>5</v>
      </c>
    </row>
    <row r="92" spans="1:16" x14ac:dyDescent="0.25">
      <c r="A92" s="9">
        <v>1100</v>
      </c>
      <c r="B92" s="10" t="s">
        <v>141</v>
      </c>
      <c r="C92" s="10" t="s">
        <v>39</v>
      </c>
      <c r="D92" s="11">
        <v>45803</v>
      </c>
      <c r="E92" s="12">
        <v>45803</v>
      </c>
      <c r="F92" s="13" t="s">
        <v>40</v>
      </c>
      <c r="G92" s="14">
        <v>15</v>
      </c>
      <c r="H92" s="13" t="s">
        <v>41</v>
      </c>
      <c r="I92" s="13" t="s">
        <v>40</v>
      </c>
      <c r="J92" s="14">
        <v>30</v>
      </c>
      <c r="K92" s="13" t="s">
        <v>40</v>
      </c>
      <c r="L92" s="14">
        <v>20</v>
      </c>
      <c r="M92" s="14">
        <f t="shared" si="2"/>
        <v>65</v>
      </c>
      <c r="N92" s="14">
        <v>5</v>
      </c>
      <c r="O92" s="10" t="s">
        <v>54</v>
      </c>
      <c r="P92" s="15">
        <f t="shared" si="3"/>
        <v>60</v>
      </c>
    </row>
    <row r="93" spans="1:16" x14ac:dyDescent="0.25">
      <c r="A93" s="10">
        <v>1101</v>
      </c>
      <c r="B93" s="10" t="s">
        <v>142</v>
      </c>
      <c r="C93" s="10" t="s">
        <v>49</v>
      </c>
      <c r="D93" s="11">
        <v>45804</v>
      </c>
      <c r="E93" s="12">
        <v>45804</v>
      </c>
      <c r="F93" s="13" t="s">
        <v>45</v>
      </c>
      <c r="G93" s="14">
        <v>10</v>
      </c>
      <c r="H93" s="13" t="s">
        <v>46</v>
      </c>
      <c r="I93" s="13" t="s">
        <v>45</v>
      </c>
      <c r="J93" s="14">
        <v>0</v>
      </c>
      <c r="K93" s="13" t="s">
        <v>40</v>
      </c>
      <c r="L93" s="14">
        <v>20</v>
      </c>
      <c r="M93" s="14">
        <f t="shared" si="2"/>
        <v>30</v>
      </c>
      <c r="N93" s="14">
        <v>15</v>
      </c>
      <c r="O93" s="10" t="s">
        <v>58</v>
      </c>
      <c r="P93" s="15">
        <f t="shared" si="3"/>
        <v>15</v>
      </c>
    </row>
    <row r="94" spans="1:16" x14ac:dyDescent="0.25">
      <c r="A94" s="9">
        <v>1102</v>
      </c>
      <c r="B94" s="10" t="s">
        <v>143</v>
      </c>
      <c r="C94" s="10" t="s">
        <v>44</v>
      </c>
      <c r="D94" s="11">
        <v>45805</v>
      </c>
      <c r="E94" s="12">
        <v>45805</v>
      </c>
      <c r="F94" s="13" t="s">
        <v>40</v>
      </c>
      <c r="G94" s="14">
        <v>5</v>
      </c>
      <c r="H94" s="13" t="s">
        <v>41</v>
      </c>
      <c r="I94" s="13" t="s">
        <v>45</v>
      </c>
      <c r="J94" s="14">
        <v>0</v>
      </c>
      <c r="K94" s="13" t="s">
        <v>45</v>
      </c>
      <c r="L94" s="14">
        <v>0</v>
      </c>
      <c r="M94" s="14">
        <f t="shared" si="2"/>
        <v>5</v>
      </c>
      <c r="N94" s="14">
        <v>1</v>
      </c>
      <c r="O94" s="10" t="s">
        <v>54</v>
      </c>
      <c r="P94" s="15">
        <f t="shared" si="3"/>
        <v>4</v>
      </c>
    </row>
    <row r="95" spans="1:16" x14ac:dyDescent="0.25">
      <c r="A95" s="10">
        <v>1103</v>
      </c>
      <c r="B95" s="10" t="s">
        <v>144</v>
      </c>
      <c r="C95" s="10" t="s">
        <v>39</v>
      </c>
      <c r="D95" s="11">
        <v>45806</v>
      </c>
      <c r="E95" s="12">
        <v>45806</v>
      </c>
      <c r="F95" s="13" t="s">
        <v>45</v>
      </c>
      <c r="G95" s="14">
        <v>15</v>
      </c>
      <c r="H95" s="13" t="s">
        <v>50</v>
      </c>
      <c r="I95" s="13" t="s">
        <v>40</v>
      </c>
      <c r="J95" s="14">
        <v>30</v>
      </c>
      <c r="K95" s="13" t="s">
        <v>40</v>
      </c>
      <c r="L95" s="14">
        <v>20</v>
      </c>
      <c r="M95" s="14">
        <f t="shared" si="2"/>
        <v>65</v>
      </c>
      <c r="N95" s="14">
        <v>20</v>
      </c>
      <c r="O95" s="10" t="s">
        <v>58</v>
      </c>
      <c r="P95" s="15">
        <f t="shared" si="3"/>
        <v>45</v>
      </c>
    </row>
    <row r="96" spans="1:16" x14ac:dyDescent="0.25">
      <c r="A96" s="9">
        <v>1104</v>
      </c>
      <c r="B96" s="10" t="s">
        <v>145</v>
      </c>
      <c r="C96" s="10" t="s">
        <v>49</v>
      </c>
      <c r="D96" s="11">
        <v>45807</v>
      </c>
      <c r="E96" s="12">
        <v>45807</v>
      </c>
      <c r="F96" s="13" t="s">
        <v>40</v>
      </c>
      <c r="G96" s="14">
        <v>10</v>
      </c>
      <c r="H96" s="13" t="s">
        <v>50</v>
      </c>
      <c r="I96" s="13" t="s">
        <v>45</v>
      </c>
      <c r="J96" s="14">
        <v>0</v>
      </c>
      <c r="K96" s="13" t="s">
        <v>40</v>
      </c>
      <c r="L96" s="14">
        <v>20</v>
      </c>
      <c r="M96" s="14">
        <f t="shared" si="2"/>
        <v>30</v>
      </c>
      <c r="N96" s="14">
        <v>15</v>
      </c>
      <c r="O96" s="10" t="s">
        <v>51</v>
      </c>
      <c r="P96" s="15">
        <f t="shared" si="3"/>
        <v>15</v>
      </c>
    </row>
    <row r="97" spans="1:16" x14ac:dyDescent="0.25">
      <c r="A97" s="10">
        <v>1105</v>
      </c>
      <c r="B97" s="10" t="s">
        <v>146</v>
      </c>
      <c r="C97" s="10" t="s">
        <v>44</v>
      </c>
      <c r="D97" s="11">
        <v>45808</v>
      </c>
      <c r="E97" s="12">
        <v>45808</v>
      </c>
      <c r="F97" s="13" t="s">
        <v>45</v>
      </c>
      <c r="G97" s="14">
        <v>5</v>
      </c>
      <c r="H97" s="13" t="s">
        <v>46</v>
      </c>
      <c r="I97" s="13" t="s">
        <v>45</v>
      </c>
      <c r="J97" s="14">
        <v>0</v>
      </c>
      <c r="K97" s="13" t="s">
        <v>45</v>
      </c>
      <c r="L97" s="14">
        <v>0</v>
      </c>
      <c r="M97" s="14">
        <f t="shared" si="2"/>
        <v>5</v>
      </c>
      <c r="N97" s="14">
        <v>0</v>
      </c>
      <c r="O97" s="10" t="s">
        <v>47</v>
      </c>
      <c r="P97" s="15">
        <f t="shared" si="3"/>
        <v>5</v>
      </c>
    </row>
    <row r="98" spans="1:16" x14ac:dyDescent="0.25">
      <c r="A98" s="9">
        <v>1106</v>
      </c>
      <c r="B98" s="10" t="s">
        <v>147</v>
      </c>
      <c r="C98" s="10" t="s">
        <v>39</v>
      </c>
      <c r="D98" s="11">
        <v>45809</v>
      </c>
      <c r="E98" s="12">
        <v>45809</v>
      </c>
      <c r="F98" s="13" t="s">
        <v>40</v>
      </c>
      <c r="G98" s="14">
        <v>15</v>
      </c>
      <c r="H98" s="13" t="s">
        <v>41</v>
      </c>
      <c r="I98" s="13" t="s">
        <v>40</v>
      </c>
      <c r="J98" s="14">
        <v>30</v>
      </c>
      <c r="K98" s="13" t="s">
        <v>40</v>
      </c>
      <c r="L98" s="14">
        <v>20</v>
      </c>
      <c r="M98" s="14">
        <f t="shared" si="2"/>
        <v>65</v>
      </c>
      <c r="N98" s="14">
        <v>7</v>
      </c>
      <c r="O98" s="10" t="s">
        <v>54</v>
      </c>
      <c r="P98" s="15">
        <f t="shared" si="3"/>
        <v>58</v>
      </c>
    </row>
    <row r="99" spans="1:16" x14ac:dyDescent="0.25">
      <c r="A99" s="10">
        <v>1107</v>
      </c>
      <c r="B99" s="10" t="s">
        <v>148</v>
      </c>
      <c r="C99" s="10" t="s">
        <v>49</v>
      </c>
      <c r="D99" s="11">
        <v>45810</v>
      </c>
      <c r="E99" s="12">
        <v>45810</v>
      </c>
      <c r="F99" s="13" t="s">
        <v>45</v>
      </c>
      <c r="G99" s="14">
        <v>10</v>
      </c>
      <c r="H99" s="13" t="s">
        <v>46</v>
      </c>
      <c r="I99" s="13" t="s">
        <v>45</v>
      </c>
      <c r="J99" s="14">
        <v>0</v>
      </c>
      <c r="K99" s="13" t="s">
        <v>40</v>
      </c>
      <c r="L99" s="14">
        <v>20</v>
      </c>
      <c r="M99" s="14">
        <f t="shared" si="2"/>
        <v>30</v>
      </c>
      <c r="N99" s="14">
        <v>10</v>
      </c>
      <c r="O99" s="10" t="s">
        <v>42</v>
      </c>
      <c r="P99" s="15">
        <f t="shared" si="3"/>
        <v>20</v>
      </c>
    </row>
    <row r="100" spans="1:16" x14ac:dyDescent="0.25">
      <c r="A100" s="9">
        <v>1108</v>
      </c>
      <c r="B100" s="10" t="s">
        <v>149</v>
      </c>
      <c r="C100" s="10" t="s">
        <v>44</v>
      </c>
      <c r="D100" s="11">
        <v>45811</v>
      </c>
      <c r="E100" s="12">
        <v>45811</v>
      </c>
      <c r="F100" s="13" t="s">
        <v>40</v>
      </c>
      <c r="G100" s="14">
        <v>5</v>
      </c>
      <c r="H100" s="13" t="s">
        <v>50</v>
      </c>
      <c r="I100" s="13" t="s">
        <v>45</v>
      </c>
      <c r="J100" s="14">
        <v>0</v>
      </c>
      <c r="K100" s="13" t="s">
        <v>45</v>
      </c>
      <c r="L100" s="14">
        <v>0</v>
      </c>
      <c r="M100" s="14">
        <f t="shared" si="2"/>
        <v>5</v>
      </c>
      <c r="N100" s="14">
        <v>1</v>
      </c>
      <c r="O100" s="10" t="s">
        <v>58</v>
      </c>
      <c r="P100" s="15">
        <f t="shared" si="3"/>
        <v>4</v>
      </c>
    </row>
    <row r="101" spans="1:16" x14ac:dyDescent="0.25">
      <c r="A101" s="10">
        <v>1109</v>
      </c>
      <c r="B101" s="10" t="s">
        <v>150</v>
      </c>
      <c r="C101" s="10" t="s">
        <v>39</v>
      </c>
      <c r="D101" s="11">
        <v>45812</v>
      </c>
      <c r="E101" s="12">
        <v>45812</v>
      </c>
      <c r="F101" s="13" t="s">
        <v>45</v>
      </c>
      <c r="G101" s="14">
        <v>15</v>
      </c>
      <c r="H101" s="13" t="s">
        <v>41</v>
      </c>
      <c r="I101" s="13" t="s">
        <v>40</v>
      </c>
      <c r="J101" s="14">
        <v>30</v>
      </c>
      <c r="K101" s="13" t="s">
        <v>40</v>
      </c>
      <c r="L101" s="14">
        <v>20</v>
      </c>
      <c r="M101" s="14">
        <f t="shared" si="2"/>
        <v>65</v>
      </c>
      <c r="N101" s="14">
        <v>15</v>
      </c>
      <c r="O101" s="10" t="s">
        <v>58</v>
      </c>
      <c r="P101" s="15">
        <f t="shared" si="3"/>
        <v>50</v>
      </c>
    </row>
    <row r="102" spans="1:16" x14ac:dyDescent="0.25">
      <c r="A102" s="9">
        <v>1110</v>
      </c>
      <c r="B102" s="10" t="s">
        <v>151</v>
      </c>
      <c r="C102" s="10" t="s">
        <v>49</v>
      </c>
      <c r="D102" s="11">
        <v>45813</v>
      </c>
      <c r="E102" s="12">
        <v>45813</v>
      </c>
      <c r="F102" s="13" t="s">
        <v>40</v>
      </c>
      <c r="G102" s="14">
        <v>10</v>
      </c>
      <c r="H102" s="13" t="s">
        <v>41</v>
      </c>
      <c r="I102" s="13" t="s">
        <v>45</v>
      </c>
      <c r="J102" s="14">
        <v>0</v>
      </c>
      <c r="K102" s="13" t="s">
        <v>40</v>
      </c>
      <c r="L102" s="14">
        <v>20</v>
      </c>
      <c r="M102" s="14">
        <f t="shared" si="2"/>
        <v>30</v>
      </c>
      <c r="N102" s="14">
        <v>5</v>
      </c>
      <c r="O102" s="10" t="s">
        <v>58</v>
      </c>
      <c r="P102" s="15">
        <f t="shared" si="3"/>
        <v>25</v>
      </c>
    </row>
    <row r="103" spans="1:16" x14ac:dyDescent="0.25">
      <c r="A103" s="10">
        <v>1111</v>
      </c>
      <c r="B103" s="10" t="s">
        <v>152</v>
      </c>
      <c r="C103" s="10" t="s">
        <v>44</v>
      </c>
      <c r="D103" s="11">
        <v>45814</v>
      </c>
      <c r="E103" s="12">
        <v>45814</v>
      </c>
      <c r="F103" s="13" t="s">
        <v>45</v>
      </c>
      <c r="G103" s="14">
        <v>5</v>
      </c>
      <c r="H103" s="13" t="s">
        <v>46</v>
      </c>
      <c r="I103" s="13" t="s">
        <v>45</v>
      </c>
      <c r="J103" s="14">
        <v>0</v>
      </c>
      <c r="K103" s="13" t="s">
        <v>45</v>
      </c>
      <c r="L103" s="14">
        <v>0</v>
      </c>
      <c r="M103" s="14">
        <f t="shared" si="2"/>
        <v>5</v>
      </c>
      <c r="N103" s="14">
        <v>0</v>
      </c>
      <c r="O103" s="10" t="s">
        <v>51</v>
      </c>
      <c r="P103" s="15">
        <f t="shared" si="3"/>
        <v>5</v>
      </c>
    </row>
    <row r="104" spans="1:16" x14ac:dyDescent="0.25">
      <c r="A104" s="9">
        <v>1112</v>
      </c>
      <c r="B104" s="10" t="s">
        <v>153</v>
      </c>
      <c r="C104" s="10" t="s">
        <v>39</v>
      </c>
      <c r="D104" s="11">
        <v>45815</v>
      </c>
      <c r="E104" s="12">
        <v>45815</v>
      </c>
      <c r="F104" s="13" t="s">
        <v>40</v>
      </c>
      <c r="G104" s="14">
        <v>15</v>
      </c>
      <c r="H104" s="13" t="s">
        <v>50</v>
      </c>
      <c r="I104" s="13" t="s">
        <v>40</v>
      </c>
      <c r="J104" s="14">
        <v>30</v>
      </c>
      <c r="K104" s="13" t="s">
        <v>40</v>
      </c>
      <c r="L104" s="14">
        <v>20</v>
      </c>
      <c r="M104" s="14">
        <f t="shared" si="2"/>
        <v>65</v>
      </c>
      <c r="N104" s="14">
        <v>20</v>
      </c>
      <c r="O104" s="10" t="s">
        <v>51</v>
      </c>
      <c r="P104" s="15">
        <f t="shared" si="3"/>
        <v>45</v>
      </c>
    </row>
    <row r="105" spans="1:16" x14ac:dyDescent="0.25">
      <c r="A105" s="10">
        <v>1113</v>
      </c>
      <c r="B105" s="10" t="s">
        <v>154</v>
      </c>
      <c r="C105" s="10" t="s">
        <v>49</v>
      </c>
      <c r="D105" s="11">
        <v>45816</v>
      </c>
      <c r="E105" s="12">
        <v>45816</v>
      </c>
      <c r="F105" s="13" t="s">
        <v>45</v>
      </c>
      <c r="G105" s="14">
        <v>10</v>
      </c>
      <c r="H105" s="13" t="s">
        <v>50</v>
      </c>
      <c r="I105" s="13" t="s">
        <v>45</v>
      </c>
      <c r="J105" s="14">
        <v>0</v>
      </c>
      <c r="K105" s="13" t="s">
        <v>40</v>
      </c>
      <c r="L105" s="14">
        <v>20</v>
      </c>
      <c r="M105" s="14">
        <f t="shared" si="2"/>
        <v>30</v>
      </c>
      <c r="N105" s="14">
        <v>12</v>
      </c>
      <c r="O105" s="10" t="s">
        <v>51</v>
      </c>
      <c r="P105" s="15">
        <f t="shared" si="3"/>
        <v>18</v>
      </c>
    </row>
    <row r="106" spans="1:16" x14ac:dyDescent="0.25">
      <c r="A106" s="9">
        <v>1114</v>
      </c>
      <c r="B106" s="10" t="s">
        <v>155</v>
      </c>
      <c r="C106" s="10" t="s">
        <v>44</v>
      </c>
      <c r="D106" s="11">
        <v>45817</v>
      </c>
      <c r="E106" s="12">
        <v>45817</v>
      </c>
      <c r="F106" s="13" t="s">
        <v>40</v>
      </c>
      <c r="G106" s="14">
        <v>5</v>
      </c>
      <c r="H106" s="13" t="s">
        <v>41</v>
      </c>
      <c r="I106" s="13" t="s">
        <v>45</v>
      </c>
      <c r="J106" s="14">
        <v>0</v>
      </c>
      <c r="K106" s="13" t="s">
        <v>45</v>
      </c>
      <c r="L106" s="14">
        <v>0</v>
      </c>
      <c r="M106" s="14">
        <f t="shared" si="2"/>
        <v>5</v>
      </c>
      <c r="N106" s="14">
        <v>2</v>
      </c>
      <c r="O106" s="10" t="s">
        <v>54</v>
      </c>
      <c r="P106" s="15">
        <f t="shared" si="3"/>
        <v>3</v>
      </c>
    </row>
    <row r="107" spans="1:16" x14ac:dyDescent="0.25">
      <c r="A107" s="10">
        <v>1115</v>
      </c>
      <c r="B107" s="10" t="s">
        <v>156</v>
      </c>
      <c r="C107" s="10" t="s">
        <v>44</v>
      </c>
      <c r="D107" s="11">
        <v>45818</v>
      </c>
      <c r="E107" s="12">
        <v>45818</v>
      </c>
      <c r="F107" s="13" t="s">
        <v>40</v>
      </c>
      <c r="G107" s="14">
        <v>5</v>
      </c>
      <c r="H107" s="13" t="s">
        <v>41</v>
      </c>
      <c r="I107" s="13" t="s">
        <v>45</v>
      </c>
      <c r="J107" s="14">
        <v>0</v>
      </c>
      <c r="K107" s="13" t="s">
        <v>45</v>
      </c>
      <c r="L107" s="14">
        <v>0</v>
      </c>
      <c r="M107" s="14">
        <f t="shared" si="2"/>
        <v>5</v>
      </c>
      <c r="N107" s="14">
        <v>0</v>
      </c>
      <c r="O107" s="10" t="s">
        <v>58</v>
      </c>
      <c r="P107" s="15">
        <f t="shared" si="3"/>
        <v>5</v>
      </c>
    </row>
    <row r="108" spans="1:16" x14ac:dyDescent="0.25">
      <c r="A108" s="9">
        <v>1116</v>
      </c>
      <c r="B108" s="10" t="s">
        <v>157</v>
      </c>
      <c r="C108" s="10" t="s">
        <v>39</v>
      </c>
      <c r="D108" s="11">
        <v>45819</v>
      </c>
      <c r="E108" s="12">
        <v>45819</v>
      </c>
      <c r="F108" s="13" t="s">
        <v>45</v>
      </c>
      <c r="G108" s="14">
        <v>15</v>
      </c>
      <c r="H108" s="13" t="s">
        <v>50</v>
      </c>
      <c r="I108" s="13" t="s">
        <v>40</v>
      </c>
      <c r="J108" s="14">
        <v>30</v>
      </c>
      <c r="K108" s="13" t="s">
        <v>40</v>
      </c>
      <c r="L108" s="14">
        <v>20</v>
      </c>
      <c r="M108" s="14">
        <f t="shared" si="2"/>
        <v>65</v>
      </c>
      <c r="N108" s="14">
        <v>7</v>
      </c>
      <c r="O108" s="10" t="s">
        <v>51</v>
      </c>
      <c r="P108" s="15">
        <f t="shared" si="3"/>
        <v>58</v>
      </c>
    </row>
    <row r="109" spans="1:16" x14ac:dyDescent="0.25">
      <c r="A109" s="10">
        <v>1117</v>
      </c>
      <c r="B109" s="10" t="s">
        <v>158</v>
      </c>
      <c r="C109" s="10" t="s">
        <v>49</v>
      </c>
      <c r="D109" s="11">
        <v>45820</v>
      </c>
      <c r="E109" s="12">
        <v>45820</v>
      </c>
      <c r="F109" s="13" t="s">
        <v>40</v>
      </c>
      <c r="G109" s="14">
        <v>10</v>
      </c>
      <c r="H109" s="13" t="s">
        <v>46</v>
      </c>
      <c r="I109" s="13" t="s">
        <v>45</v>
      </c>
      <c r="J109" s="14">
        <v>0</v>
      </c>
      <c r="K109" s="13" t="s">
        <v>40</v>
      </c>
      <c r="L109" s="14">
        <v>20</v>
      </c>
      <c r="M109" s="14">
        <f t="shared" si="2"/>
        <v>30</v>
      </c>
      <c r="N109" s="14">
        <v>10</v>
      </c>
      <c r="O109" s="10" t="s">
        <v>51</v>
      </c>
      <c r="P109" s="15">
        <f t="shared" si="3"/>
        <v>20</v>
      </c>
    </row>
    <row r="110" spans="1:16" x14ac:dyDescent="0.25">
      <c r="A110" s="9">
        <v>1118</v>
      </c>
      <c r="B110" s="10" t="s">
        <v>159</v>
      </c>
      <c r="C110" s="10" t="s">
        <v>44</v>
      </c>
      <c r="D110" s="11">
        <v>45821</v>
      </c>
      <c r="E110" s="12">
        <v>45821</v>
      </c>
      <c r="F110" s="13" t="s">
        <v>45</v>
      </c>
      <c r="G110" s="14">
        <v>5</v>
      </c>
      <c r="H110" s="13" t="s">
        <v>50</v>
      </c>
      <c r="I110" s="13" t="s">
        <v>45</v>
      </c>
      <c r="J110" s="14">
        <v>0</v>
      </c>
      <c r="K110" s="13" t="s">
        <v>45</v>
      </c>
      <c r="L110" s="14">
        <v>0</v>
      </c>
      <c r="M110" s="14">
        <f t="shared" si="2"/>
        <v>5</v>
      </c>
      <c r="N110" s="14">
        <v>1</v>
      </c>
      <c r="O110" s="10" t="s">
        <v>54</v>
      </c>
      <c r="P110" s="15">
        <f t="shared" si="3"/>
        <v>4</v>
      </c>
    </row>
    <row r="111" spans="1:16" x14ac:dyDescent="0.25">
      <c r="A111" s="10">
        <v>1119</v>
      </c>
      <c r="B111" s="10" t="s">
        <v>160</v>
      </c>
      <c r="C111" s="10" t="s">
        <v>39</v>
      </c>
      <c r="D111" s="11">
        <v>45822</v>
      </c>
      <c r="E111" s="12">
        <v>45822</v>
      </c>
      <c r="F111" s="13" t="s">
        <v>40</v>
      </c>
      <c r="G111" s="14">
        <v>15</v>
      </c>
      <c r="H111" s="13" t="s">
        <v>41</v>
      </c>
      <c r="I111" s="13" t="s">
        <v>40</v>
      </c>
      <c r="J111" s="14">
        <v>30</v>
      </c>
      <c r="K111" s="13" t="s">
        <v>40</v>
      </c>
      <c r="L111" s="14">
        <v>20</v>
      </c>
      <c r="M111" s="14">
        <f t="shared" si="2"/>
        <v>65</v>
      </c>
      <c r="N111" s="14">
        <v>15</v>
      </c>
      <c r="O111" s="10" t="s">
        <v>51</v>
      </c>
      <c r="P111" s="15">
        <f t="shared" si="3"/>
        <v>50</v>
      </c>
    </row>
    <row r="112" spans="1:16" x14ac:dyDescent="0.25">
      <c r="A112" s="9">
        <v>1120</v>
      </c>
      <c r="B112" s="10" t="s">
        <v>161</v>
      </c>
      <c r="C112" s="10" t="s">
        <v>49</v>
      </c>
      <c r="D112" s="11">
        <v>45823</v>
      </c>
      <c r="E112" s="12">
        <v>45823</v>
      </c>
      <c r="F112" s="13" t="s">
        <v>45</v>
      </c>
      <c r="G112" s="14">
        <v>10</v>
      </c>
      <c r="H112" s="13" t="s">
        <v>41</v>
      </c>
      <c r="I112" s="13" t="s">
        <v>45</v>
      </c>
      <c r="J112" s="14">
        <v>0</v>
      </c>
      <c r="K112" s="13" t="s">
        <v>40</v>
      </c>
      <c r="L112" s="14">
        <v>20</v>
      </c>
      <c r="M112" s="14">
        <f t="shared" si="2"/>
        <v>30</v>
      </c>
      <c r="N112" s="14">
        <v>5</v>
      </c>
      <c r="O112" s="10" t="s">
        <v>42</v>
      </c>
      <c r="P112" s="15">
        <f t="shared" si="3"/>
        <v>25</v>
      </c>
    </row>
    <row r="113" spans="1:16" x14ac:dyDescent="0.25">
      <c r="A113" s="10">
        <v>1121</v>
      </c>
      <c r="B113" s="10" t="s">
        <v>162</v>
      </c>
      <c r="C113" s="10" t="s">
        <v>44</v>
      </c>
      <c r="D113" s="11">
        <v>45824</v>
      </c>
      <c r="E113" s="12">
        <v>45824</v>
      </c>
      <c r="F113" s="13" t="s">
        <v>40</v>
      </c>
      <c r="G113" s="14">
        <v>5</v>
      </c>
      <c r="H113" s="13" t="s">
        <v>46</v>
      </c>
      <c r="I113" s="13" t="s">
        <v>45</v>
      </c>
      <c r="J113" s="14">
        <v>0</v>
      </c>
      <c r="K113" s="13" t="s">
        <v>45</v>
      </c>
      <c r="L113" s="14">
        <v>0</v>
      </c>
      <c r="M113" s="14">
        <f t="shared" si="2"/>
        <v>5</v>
      </c>
      <c r="N113" s="14">
        <v>0</v>
      </c>
      <c r="O113" s="10" t="s">
        <v>47</v>
      </c>
      <c r="P113" s="15">
        <f t="shared" si="3"/>
        <v>5</v>
      </c>
    </row>
    <row r="114" spans="1:16" x14ac:dyDescent="0.25">
      <c r="A114" s="9">
        <v>1122</v>
      </c>
      <c r="B114" s="10" t="s">
        <v>163</v>
      </c>
      <c r="C114" s="10" t="s">
        <v>39</v>
      </c>
      <c r="D114" s="11">
        <v>45825</v>
      </c>
      <c r="E114" s="12">
        <v>45825</v>
      </c>
      <c r="F114" s="13" t="s">
        <v>45</v>
      </c>
      <c r="G114" s="14">
        <v>15</v>
      </c>
      <c r="H114" s="13" t="s">
        <v>50</v>
      </c>
      <c r="I114" s="13" t="s">
        <v>40</v>
      </c>
      <c r="J114" s="14">
        <v>30</v>
      </c>
      <c r="K114" s="13" t="s">
        <v>40</v>
      </c>
      <c r="L114" s="14">
        <v>20</v>
      </c>
      <c r="M114" s="14">
        <f t="shared" si="2"/>
        <v>65</v>
      </c>
      <c r="N114" s="14">
        <v>20</v>
      </c>
      <c r="O114" s="10" t="s">
        <v>58</v>
      </c>
      <c r="P114" s="15">
        <f t="shared" si="3"/>
        <v>45</v>
      </c>
    </row>
    <row r="115" spans="1:16" x14ac:dyDescent="0.25">
      <c r="A115" s="10">
        <v>1123</v>
      </c>
      <c r="B115" s="10" t="s">
        <v>164</v>
      </c>
      <c r="C115" s="10" t="s">
        <v>49</v>
      </c>
      <c r="D115" s="11">
        <v>45826</v>
      </c>
      <c r="E115" s="12">
        <v>45826</v>
      </c>
      <c r="F115" s="13" t="s">
        <v>40</v>
      </c>
      <c r="G115" s="14">
        <v>10</v>
      </c>
      <c r="H115" s="13" t="s">
        <v>50</v>
      </c>
      <c r="I115" s="13" t="s">
        <v>45</v>
      </c>
      <c r="J115" s="14">
        <v>0</v>
      </c>
      <c r="K115" s="13" t="s">
        <v>40</v>
      </c>
      <c r="L115" s="14">
        <v>20</v>
      </c>
      <c r="M115" s="14">
        <f t="shared" si="2"/>
        <v>30</v>
      </c>
      <c r="N115" s="14">
        <v>12</v>
      </c>
      <c r="O115" s="10" t="s">
        <v>51</v>
      </c>
      <c r="P115" s="15">
        <f t="shared" si="3"/>
        <v>18</v>
      </c>
    </row>
    <row r="116" spans="1:16" x14ac:dyDescent="0.25">
      <c r="A116" s="9">
        <v>1124</v>
      </c>
      <c r="B116" s="10" t="s">
        <v>165</v>
      </c>
      <c r="C116" s="10" t="s">
        <v>44</v>
      </c>
      <c r="D116" s="11">
        <v>45827</v>
      </c>
      <c r="E116" s="12">
        <v>45827</v>
      </c>
      <c r="F116" s="13" t="s">
        <v>45</v>
      </c>
      <c r="G116" s="14">
        <v>5</v>
      </c>
      <c r="H116" s="13" t="s">
        <v>41</v>
      </c>
      <c r="I116" s="13" t="s">
        <v>45</v>
      </c>
      <c r="J116" s="14">
        <v>0</v>
      </c>
      <c r="K116" s="13" t="s">
        <v>45</v>
      </c>
      <c r="L116" s="14">
        <v>0</v>
      </c>
      <c r="M116" s="14">
        <f t="shared" si="2"/>
        <v>5</v>
      </c>
      <c r="N116" s="14">
        <v>2</v>
      </c>
      <c r="O116" s="10" t="s">
        <v>51</v>
      </c>
      <c r="P116" s="15">
        <f t="shared" si="3"/>
        <v>3</v>
      </c>
    </row>
    <row r="117" spans="1:16" x14ac:dyDescent="0.25">
      <c r="A117" s="10">
        <v>1125</v>
      </c>
      <c r="B117" s="10" t="s">
        <v>166</v>
      </c>
      <c r="C117" s="10" t="s">
        <v>39</v>
      </c>
      <c r="D117" s="11">
        <v>45828</v>
      </c>
      <c r="E117" s="12">
        <v>45828</v>
      </c>
      <c r="F117" s="13" t="s">
        <v>40</v>
      </c>
      <c r="G117" s="14">
        <v>15</v>
      </c>
      <c r="H117" s="13" t="s">
        <v>46</v>
      </c>
      <c r="I117" s="13" t="s">
        <v>40</v>
      </c>
      <c r="J117" s="14">
        <v>30</v>
      </c>
      <c r="K117" s="13" t="s">
        <v>40</v>
      </c>
      <c r="L117" s="14">
        <v>20</v>
      </c>
      <c r="M117" s="14">
        <f t="shared" si="2"/>
        <v>65</v>
      </c>
      <c r="N117" s="14">
        <v>5</v>
      </c>
      <c r="O117" s="10" t="s">
        <v>51</v>
      </c>
      <c r="P117" s="15">
        <f t="shared" si="3"/>
        <v>60</v>
      </c>
    </row>
    <row r="118" spans="1:16" x14ac:dyDescent="0.25">
      <c r="A118" s="9">
        <v>1126</v>
      </c>
      <c r="B118" s="10" t="s">
        <v>167</v>
      </c>
      <c r="C118" s="10" t="s">
        <v>49</v>
      </c>
      <c r="D118" s="11">
        <v>45829</v>
      </c>
      <c r="E118" s="12">
        <v>45829</v>
      </c>
      <c r="F118" s="13" t="s">
        <v>45</v>
      </c>
      <c r="G118" s="14">
        <v>10</v>
      </c>
      <c r="H118" s="13" t="s">
        <v>41</v>
      </c>
      <c r="I118" s="13" t="s">
        <v>45</v>
      </c>
      <c r="J118" s="14">
        <v>0</v>
      </c>
      <c r="K118" s="13" t="s">
        <v>40</v>
      </c>
      <c r="L118" s="14">
        <v>20</v>
      </c>
      <c r="M118" s="14">
        <f t="shared" si="2"/>
        <v>30</v>
      </c>
      <c r="N118" s="14">
        <v>10</v>
      </c>
      <c r="O118" s="10" t="s">
        <v>58</v>
      </c>
      <c r="P118" s="15">
        <f t="shared" si="3"/>
        <v>20</v>
      </c>
    </row>
    <row r="119" spans="1:16" x14ac:dyDescent="0.25">
      <c r="A119" s="10">
        <v>1127</v>
      </c>
      <c r="B119" s="10" t="s">
        <v>168</v>
      </c>
      <c r="C119" s="10" t="s">
        <v>44</v>
      </c>
      <c r="D119" s="11">
        <v>45830</v>
      </c>
      <c r="E119" s="12">
        <v>45830</v>
      </c>
      <c r="F119" s="13" t="s">
        <v>40</v>
      </c>
      <c r="G119" s="14">
        <v>5</v>
      </c>
      <c r="H119" s="13" t="s">
        <v>50</v>
      </c>
      <c r="I119" s="13" t="s">
        <v>45</v>
      </c>
      <c r="J119" s="14">
        <v>0</v>
      </c>
      <c r="K119" s="13" t="s">
        <v>45</v>
      </c>
      <c r="L119" s="14">
        <v>0</v>
      </c>
      <c r="M119" s="14">
        <f t="shared" si="2"/>
        <v>5</v>
      </c>
      <c r="N119" s="14">
        <v>0</v>
      </c>
      <c r="O119" s="10" t="s">
        <v>54</v>
      </c>
      <c r="P119" s="15">
        <f t="shared" si="3"/>
        <v>5</v>
      </c>
    </row>
    <row r="120" spans="1:16" x14ac:dyDescent="0.25">
      <c r="A120" s="9">
        <v>1128</v>
      </c>
      <c r="B120" s="10" t="s">
        <v>144</v>
      </c>
      <c r="C120" s="10" t="s">
        <v>39</v>
      </c>
      <c r="D120" s="11">
        <v>45831</v>
      </c>
      <c r="E120" s="12">
        <v>45831</v>
      </c>
      <c r="F120" s="13" t="s">
        <v>45</v>
      </c>
      <c r="G120" s="14">
        <v>15</v>
      </c>
      <c r="H120" s="13" t="s">
        <v>41</v>
      </c>
      <c r="I120" s="13" t="s">
        <v>40</v>
      </c>
      <c r="J120" s="14">
        <v>30</v>
      </c>
      <c r="K120" s="13" t="s">
        <v>40</v>
      </c>
      <c r="L120" s="14">
        <v>20</v>
      </c>
      <c r="M120" s="14">
        <f t="shared" si="2"/>
        <v>65</v>
      </c>
      <c r="N120" s="14">
        <v>3</v>
      </c>
      <c r="O120" s="10" t="s">
        <v>58</v>
      </c>
      <c r="P120" s="15">
        <f t="shared" si="3"/>
        <v>62</v>
      </c>
    </row>
    <row r="121" spans="1:16" x14ac:dyDescent="0.25">
      <c r="A121" s="10">
        <v>1129</v>
      </c>
      <c r="B121" s="10" t="s">
        <v>169</v>
      </c>
      <c r="C121" s="10" t="s">
        <v>49</v>
      </c>
      <c r="D121" s="11">
        <v>45832</v>
      </c>
      <c r="E121" s="12">
        <v>45832</v>
      </c>
      <c r="F121" s="13" t="s">
        <v>40</v>
      </c>
      <c r="G121" s="14">
        <v>10</v>
      </c>
      <c r="H121" s="13" t="s">
        <v>46</v>
      </c>
      <c r="I121" s="13" t="s">
        <v>45</v>
      </c>
      <c r="J121" s="14">
        <v>0</v>
      </c>
      <c r="K121" s="13" t="s">
        <v>40</v>
      </c>
      <c r="L121" s="14">
        <v>20</v>
      </c>
      <c r="M121" s="14">
        <f t="shared" si="2"/>
        <v>30</v>
      </c>
      <c r="N121" s="14">
        <v>15</v>
      </c>
      <c r="O121" s="10" t="s">
        <v>54</v>
      </c>
      <c r="P121" s="15">
        <f t="shared" si="3"/>
        <v>15</v>
      </c>
    </row>
    <row r="122" spans="1:16" x14ac:dyDescent="0.25">
      <c r="A122" s="9">
        <v>1130</v>
      </c>
      <c r="B122" s="10" t="s">
        <v>170</v>
      </c>
      <c r="C122" s="10" t="s">
        <v>44</v>
      </c>
      <c r="D122" s="11">
        <v>45833</v>
      </c>
      <c r="E122" s="12">
        <v>45833</v>
      </c>
      <c r="F122" s="13" t="s">
        <v>45</v>
      </c>
      <c r="G122" s="14">
        <v>5</v>
      </c>
      <c r="H122" s="13" t="s">
        <v>41</v>
      </c>
      <c r="I122" s="13" t="s">
        <v>45</v>
      </c>
      <c r="J122" s="14">
        <v>0</v>
      </c>
      <c r="K122" s="13" t="s">
        <v>45</v>
      </c>
      <c r="L122" s="14">
        <v>0</v>
      </c>
      <c r="M122" s="14">
        <f t="shared" si="2"/>
        <v>5</v>
      </c>
      <c r="N122" s="14">
        <v>1</v>
      </c>
      <c r="O122" s="10" t="s">
        <v>47</v>
      </c>
      <c r="P122" s="15">
        <f t="shared" si="3"/>
        <v>4</v>
      </c>
    </row>
    <row r="123" spans="1:16" x14ac:dyDescent="0.25">
      <c r="A123" s="10">
        <v>1131</v>
      </c>
      <c r="B123" s="10" t="s">
        <v>171</v>
      </c>
      <c r="C123" s="10" t="s">
        <v>39</v>
      </c>
      <c r="D123" s="11">
        <v>45834</v>
      </c>
      <c r="E123" s="12">
        <v>45834</v>
      </c>
      <c r="F123" s="13" t="s">
        <v>40</v>
      </c>
      <c r="G123" s="14">
        <v>15</v>
      </c>
      <c r="H123" s="13" t="s">
        <v>50</v>
      </c>
      <c r="I123" s="13" t="s">
        <v>40</v>
      </c>
      <c r="J123" s="14">
        <v>30</v>
      </c>
      <c r="K123" s="13" t="s">
        <v>40</v>
      </c>
      <c r="L123" s="14">
        <v>20</v>
      </c>
      <c r="M123" s="14">
        <f t="shared" si="2"/>
        <v>65</v>
      </c>
      <c r="N123" s="14">
        <v>7</v>
      </c>
      <c r="O123" s="10" t="s">
        <v>51</v>
      </c>
      <c r="P123" s="15">
        <f t="shared" si="3"/>
        <v>58</v>
      </c>
    </row>
    <row r="124" spans="1:16" x14ac:dyDescent="0.25">
      <c r="A124" s="9">
        <v>1132</v>
      </c>
      <c r="B124" s="10" t="s">
        <v>172</v>
      </c>
      <c r="C124" s="10" t="s">
        <v>49</v>
      </c>
      <c r="D124" s="11">
        <v>45835</v>
      </c>
      <c r="E124" s="12">
        <v>45835</v>
      </c>
      <c r="F124" s="13" t="s">
        <v>45</v>
      </c>
      <c r="G124" s="14">
        <v>10</v>
      </c>
      <c r="H124" s="13" t="s">
        <v>41</v>
      </c>
      <c r="I124" s="13" t="s">
        <v>45</v>
      </c>
      <c r="J124" s="14">
        <v>0</v>
      </c>
      <c r="K124" s="13" t="s">
        <v>40</v>
      </c>
      <c r="L124" s="14">
        <v>20</v>
      </c>
      <c r="M124" s="14">
        <f t="shared" si="2"/>
        <v>30</v>
      </c>
      <c r="N124" s="14">
        <v>10</v>
      </c>
      <c r="O124" s="10" t="s">
        <v>47</v>
      </c>
      <c r="P124" s="15">
        <f t="shared" si="3"/>
        <v>20</v>
      </c>
    </row>
    <row r="125" spans="1:16" x14ac:dyDescent="0.25">
      <c r="A125" s="10">
        <v>1133</v>
      </c>
      <c r="B125" s="10" t="s">
        <v>173</v>
      </c>
      <c r="C125" s="10" t="s">
        <v>44</v>
      </c>
      <c r="D125" s="11">
        <v>45836</v>
      </c>
      <c r="E125" s="12">
        <v>45836</v>
      </c>
      <c r="F125" s="13" t="s">
        <v>40</v>
      </c>
      <c r="G125" s="14">
        <v>5</v>
      </c>
      <c r="H125" s="13" t="s">
        <v>46</v>
      </c>
      <c r="I125" s="13" t="s">
        <v>45</v>
      </c>
      <c r="J125" s="14">
        <v>0</v>
      </c>
      <c r="K125" s="13" t="s">
        <v>45</v>
      </c>
      <c r="L125" s="14">
        <v>0</v>
      </c>
      <c r="M125" s="14">
        <f t="shared" si="2"/>
        <v>5</v>
      </c>
      <c r="N125" s="14">
        <v>0</v>
      </c>
      <c r="O125" s="10" t="s">
        <v>58</v>
      </c>
      <c r="P125" s="15">
        <f t="shared" si="3"/>
        <v>5</v>
      </c>
    </row>
    <row r="126" spans="1:16" x14ac:dyDescent="0.25">
      <c r="A126" s="9">
        <v>1134</v>
      </c>
      <c r="B126" s="10" t="s">
        <v>174</v>
      </c>
      <c r="C126" s="10" t="s">
        <v>39</v>
      </c>
      <c r="D126" s="11">
        <v>45837</v>
      </c>
      <c r="E126" s="12">
        <v>45837</v>
      </c>
      <c r="F126" s="13" t="s">
        <v>45</v>
      </c>
      <c r="G126" s="14">
        <v>15</v>
      </c>
      <c r="H126" s="13" t="s">
        <v>41</v>
      </c>
      <c r="I126" s="13" t="s">
        <v>40</v>
      </c>
      <c r="J126" s="14">
        <v>30</v>
      </c>
      <c r="K126" s="13" t="s">
        <v>40</v>
      </c>
      <c r="L126" s="14">
        <v>20</v>
      </c>
      <c r="M126" s="14">
        <f t="shared" si="2"/>
        <v>65</v>
      </c>
      <c r="N126" s="14">
        <v>20</v>
      </c>
      <c r="O126" s="10" t="s">
        <v>51</v>
      </c>
      <c r="P126" s="15">
        <f t="shared" si="3"/>
        <v>45</v>
      </c>
    </row>
    <row r="127" spans="1:16" x14ac:dyDescent="0.25">
      <c r="A127" s="10">
        <v>1135</v>
      </c>
      <c r="B127" s="10" t="s">
        <v>175</v>
      </c>
      <c r="C127" s="10" t="s">
        <v>49</v>
      </c>
      <c r="D127" s="11">
        <v>45838</v>
      </c>
      <c r="E127" s="12">
        <v>45838</v>
      </c>
      <c r="F127" s="13" t="s">
        <v>40</v>
      </c>
      <c r="G127" s="14">
        <v>10</v>
      </c>
      <c r="H127" s="13" t="s">
        <v>50</v>
      </c>
      <c r="I127" s="13" t="s">
        <v>45</v>
      </c>
      <c r="J127" s="14">
        <v>0</v>
      </c>
      <c r="K127" s="13" t="s">
        <v>40</v>
      </c>
      <c r="L127" s="14">
        <v>20</v>
      </c>
      <c r="M127" s="14">
        <f t="shared" si="2"/>
        <v>30</v>
      </c>
      <c r="N127" s="14">
        <v>15</v>
      </c>
      <c r="O127" s="10" t="s">
        <v>42</v>
      </c>
      <c r="P127" s="15">
        <f t="shared" si="3"/>
        <v>15</v>
      </c>
    </row>
    <row r="128" spans="1:16" x14ac:dyDescent="0.25">
      <c r="A128" s="9">
        <v>1136</v>
      </c>
      <c r="B128" s="10" t="s">
        <v>176</v>
      </c>
      <c r="C128" s="10" t="s">
        <v>44</v>
      </c>
      <c r="D128" s="11">
        <v>45839</v>
      </c>
      <c r="E128" s="12">
        <v>45839</v>
      </c>
      <c r="F128" s="13" t="s">
        <v>45</v>
      </c>
      <c r="G128" s="14">
        <v>5</v>
      </c>
      <c r="H128" s="13" t="s">
        <v>41</v>
      </c>
      <c r="I128" s="13" t="s">
        <v>45</v>
      </c>
      <c r="J128" s="14">
        <v>0</v>
      </c>
      <c r="K128" s="13" t="s">
        <v>45</v>
      </c>
      <c r="L128" s="14">
        <v>0</v>
      </c>
      <c r="M128" s="14">
        <f t="shared" si="2"/>
        <v>5</v>
      </c>
      <c r="N128" s="14">
        <v>1</v>
      </c>
      <c r="O128" s="10" t="s">
        <v>58</v>
      </c>
      <c r="P128" s="15">
        <f t="shared" si="3"/>
        <v>4</v>
      </c>
    </row>
    <row r="129" spans="1:16" x14ac:dyDescent="0.25">
      <c r="A129" s="10">
        <v>1137</v>
      </c>
      <c r="B129" s="10" t="s">
        <v>177</v>
      </c>
      <c r="C129" s="10" t="s">
        <v>39</v>
      </c>
      <c r="D129" s="11">
        <v>45840</v>
      </c>
      <c r="E129" s="12">
        <v>45840</v>
      </c>
      <c r="F129" s="13" t="s">
        <v>40</v>
      </c>
      <c r="G129" s="14">
        <v>15</v>
      </c>
      <c r="H129" s="13" t="s">
        <v>46</v>
      </c>
      <c r="I129" s="13" t="s">
        <v>40</v>
      </c>
      <c r="J129" s="14">
        <v>30</v>
      </c>
      <c r="K129" s="13" t="s">
        <v>40</v>
      </c>
      <c r="L129" s="14">
        <v>20</v>
      </c>
      <c r="M129" s="14">
        <f t="shared" si="2"/>
        <v>65</v>
      </c>
      <c r="N129" s="14">
        <v>3</v>
      </c>
      <c r="O129" s="10" t="s">
        <v>54</v>
      </c>
      <c r="P129" s="15">
        <f t="shared" si="3"/>
        <v>62</v>
      </c>
    </row>
    <row r="130" spans="1:16" x14ac:dyDescent="0.25">
      <c r="A130" s="9">
        <v>1138</v>
      </c>
      <c r="B130" s="10" t="s">
        <v>178</v>
      </c>
      <c r="C130" s="10" t="s">
        <v>49</v>
      </c>
      <c r="D130" s="11">
        <v>45841</v>
      </c>
      <c r="E130" s="12">
        <v>45841</v>
      </c>
      <c r="F130" s="13" t="s">
        <v>45</v>
      </c>
      <c r="G130" s="14">
        <v>10</v>
      </c>
      <c r="H130" s="13" t="s">
        <v>41</v>
      </c>
      <c r="I130" s="13" t="s">
        <v>45</v>
      </c>
      <c r="J130" s="14">
        <v>0</v>
      </c>
      <c r="K130" s="13" t="s">
        <v>40</v>
      </c>
      <c r="L130" s="14">
        <v>20</v>
      </c>
      <c r="M130" s="14">
        <f t="shared" si="2"/>
        <v>30</v>
      </c>
      <c r="N130" s="14">
        <v>10</v>
      </c>
      <c r="O130" s="10" t="s">
        <v>58</v>
      </c>
      <c r="P130" s="15">
        <f t="shared" si="3"/>
        <v>20</v>
      </c>
    </row>
    <row r="131" spans="1:16" x14ac:dyDescent="0.25">
      <c r="A131" s="10">
        <v>1139</v>
      </c>
      <c r="B131" s="10" t="s">
        <v>179</v>
      </c>
      <c r="C131" s="10" t="s">
        <v>44</v>
      </c>
      <c r="D131" s="11">
        <v>45842</v>
      </c>
      <c r="E131" s="12">
        <v>45842</v>
      </c>
      <c r="F131" s="13" t="s">
        <v>40</v>
      </c>
      <c r="G131" s="14">
        <v>5</v>
      </c>
      <c r="H131" s="13" t="s">
        <v>50</v>
      </c>
      <c r="I131" s="13" t="s">
        <v>45</v>
      </c>
      <c r="J131" s="14">
        <v>0</v>
      </c>
      <c r="K131" s="13" t="s">
        <v>45</v>
      </c>
      <c r="L131" s="14">
        <v>0</v>
      </c>
      <c r="M131" s="14">
        <f t="shared" ref="M131:M194" si="4">G131+J131+L131</f>
        <v>5</v>
      </c>
      <c r="N131" s="14">
        <v>0</v>
      </c>
      <c r="O131" s="10" t="s">
        <v>42</v>
      </c>
      <c r="P131" s="15">
        <f t="shared" ref="P131:P194" si="5">G131+J131+L131-N131</f>
        <v>5</v>
      </c>
    </row>
    <row r="132" spans="1:16" x14ac:dyDescent="0.25">
      <c r="A132" s="9">
        <v>1140</v>
      </c>
      <c r="B132" s="10" t="s">
        <v>180</v>
      </c>
      <c r="C132" s="10" t="s">
        <v>39</v>
      </c>
      <c r="D132" s="11">
        <v>45843</v>
      </c>
      <c r="E132" s="12">
        <v>45843</v>
      </c>
      <c r="F132" s="13" t="s">
        <v>45</v>
      </c>
      <c r="G132" s="14">
        <v>15</v>
      </c>
      <c r="H132" s="13" t="s">
        <v>41</v>
      </c>
      <c r="I132" s="13" t="s">
        <v>40</v>
      </c>
      <c r="J132" s="14">
        <v>30</v>
      </c>
      <c r="K132" s="13" t="s">
        <v>40</v>
      </c>
      <c r="L132" s="14">
        <v>20</v>
      </c>
      <c r="M132" s="14">
        <f t="shared" si="4"/>
        <v>65</v>
      </c>
      <c r="N132" s="14">
        <v>15</v>
      </c>
      <c r="O132" s="10" t="s">
        <v>58</v>
      </c>
      <c r="P132" s="15">
        <f t="shared" si="5"/>
        <v>50</v>
      </c>
    </row>
    <row r="133" spans="1:16" x14ac:dyDescent="0.25">
      <c r="A133" s="10">
        <v>1141</v>
      </c>
      <c r="B133" s="10" t="s">
        <v>181</v>
      </c>
      <c r="C133" s="10" t="s">
        <v>49</v>
      </c>
      <c r="D133" s="11">
        <v>45844</v>
      </c>
      <c r="E133" s="12">
        <v>45844</v>
      </c>
      <c r="F133" s="13" t="s">
        <v>40</v>
      </c>
      <c r="G133" s="14">
        <v>10</v>
      </c>
      <c r="H133" s="13" t="s">
        <v>46</v>
      </c>
      <c r="I133" s="13" t="s">
        <v>45</v>
      </c>
      <c r="J133" s="14">
        <v>0</v>
      </c>
      <c r="K133" s="13" t="s">
        <v>40</v>
      </c>
      <c r="L133" s="14">
        <v>20</v>
      </c>
      <c r="M133" s="14">
        <f t="shared" si="4"/>
        <v>30</v>
      </c>
      <c r="N133" s="14">
        <v>15</v>
      </c>
      <c r="O133" s="10" t="s">
        <v>58</v>
      </c>
      <c r="P133" s="15">
        <f t="shared" si="5"/>
        <v>15</v>
      </c>
    </row>
    <row r="134" spans="1:16" x14ac:dyDescent="0.25">
      <c r="A134" s="9">
        <v>1142</v>
      </c>
      <c r="B134" s="10" t="s">
        <v>182</v>
      </c>
      <c r="C134" s="10" t="s">
        <v>44</v>
      </c>
      <c r="D134" s="11">
        <v>45845</v>
      </c>
      <c r="E134" s="12">
        <v>45845</v>
      </c>
      <c r="F134" s="13" t="s">
        <v>45</v>
      </c>
      <c r="G134" s="14">
        <v>5</v>
      </c>
      <c r="H134" s="13" t="s">
        <v>41</v>
      </c>
      <c r="I134" s="13" t="s">
        <v>45</v>
      </c>
      <c r="J134" s="14">
        <v>0</v>
      </c>
      <c r="K134" s="13" t="s">
        <v>45</v>
      </c>
      <c r="L134" s="14">
        <v>0</v>
      </c>
      <c r="M134" s="14">
        <f t="shared" si="4"/>
        <v>5</v>
      </c>
      <c r="N134" s="14">
        <v>1</v>
      </c>
      <c r="O134" s="10" t="s">
        <v>42</v>
      </c>
      <c r="P134" s="15">
        <f t="shared" si="5"/>
        <v>4</v>
      </c>
    </row>
    <row r="135" spans="1:16" x14ac:dyDescent="0.25">
      <c r="A135" s="10">
        <v>1143</v>
      </c>
      <c r="B135" s="10" t="s">
        <v>183</v>
      </c>
      <c r="C135" s="10" t="s">
        <v>39</v>
      </c>
      <c r="D135" s="11">
        <v>45846</v>
      </c>
      <c r="E135" s="12">
        <v>45846</v>
      </c>
      <c r="F135" s="13" t="s">
        <v>40</v>
      </c>
      <c r="G135" s="14">
        <v>15</v>
      </c>
      <c r="H135" s="13" t="s">
        <v>50</v>
      </c>
      <c r="I135" s="13" t="s">
        <v>40</v>
      </c>
      <c r="J135" s="14">
        <v>30</v>
      </c>
      <c r="K135" s="13" t="s">
        <v>40</v>
      </c>
      <c r="L135" s="14">
        <v>20</v>
      </c>
      <c r="M135" s="14">
        <f t="shared" si="4"/>
        <v>65</v>
      </c>
      <c r="N135" s="14">
        <v>7</v>
      </c>
      <c r="O135" s="10" t="s">
        <v>58</v>
      </c>
      <c r="P135" s="15">
        <f t="shared" si="5"/>
        <v>58</v>
      </c>
    </row>
    <row r="136" spans="1:16" x14ac:dyDescent="0.25">
      <c r="A136" s="9">
        <v>1144</v>
      </c>
      <c r="B136" s="10" t="s">
        <v>184</v>
      </c>
      <c r="C136" s="10" t="s">
        <v>49</v>
      </c>
      <c r="D136" s="11">
        <v>45847</v>
      </c>
      <c r="E136" s="12">
        <v>45847</v>
      </c>
      <c r="F136" s="13" t="s">
        <v>45</v>
      </c>
      <c r="G136" s="14">
        <v>10</v>
      </c>
      <c r="H136" s="13" t="s">
        <v>41</v>
      </c>
      <c r="I136" s="13" t="s">
        <v>45</v>
      </c>
      <c r="J136" s="14">
        <v>0</v>
      </c>
      <c r="K136" s="13" t="s">
        <v>40</v>
      </c>
      <c r="L136" s="14">
        <v>20</v>
      </c>
      <c r="M136" s="14">
        <f t="shared" si="4"/>
        <v>30</v>
      </c>
      <c r="N136" s="14">
        <v>10</v>
      </c>
      <c r="O136" s="10" t="s">
        <v>51</v>
      </c>
      <c r="P136" s="15">
        <f t="shared" si="5"/>
        <v>20</v>
      </c>
    </row>
    <row r="137" spans="1:16" x14ac:dyDescent="0.25">
      <c r="A137" s="10">
        <v>1145</v>
      </c>
      <c r="B137" s="10" t="s">
        <v>185</v>
      </c>
      <c r="C137" s="10" t="s">
        <v>44</v>
      </c>
      <c r="D137" s="11">
        <v>45848</v>
      </c>
      <c r="E137" s="12">
        <v>45848</v>
      </c>
      <c r="F137" s="13" t="s">
        <v>40</v>
      </c>
      <c r="G137" s="14">
        <v>5</v>
      </c>
      <c r="H137" s="13" t="s">
        <v>41</v>
      </c>
      <c r="I137" s="13" t="s">
        <v>45</v>
      </c>
      <c r="J137" s="14">
        <v>0</v>
      </c>
      <c r="K137" s="13" t="s">
        <v>45</v>
      </c>
      <c r="L137" s="14">
        <v>0</v>
      </c>
      <c r="M137" s="14">
        <f t="shared" si="4"/>
        <v>5</v>
      </c>
      <c r="N137" s="14">
        <v>0</v>
      </c>
      <c r="O137" s="10" t="s">
        <v>47</v>
      </c>
      <c r="P137" s="15">
        <f t="shared" si="5"/>
        <v>5</v>
      </c>
    </row>
    <row r="138" spans="1:16" x14ac:dyDescent="0.25">
      <c r="A138" s="9">
        <v>1146</v>
      </c>
      <c r="B138" s="10" t="s">
        <v>186</v>
      </c>
      <c r="C138" s="10" t="s">
        <v>39</v>
      </c>
      <c r="D138" s="11">
        <v>45849</v>
      </c>
      <c r="E138" s="12">
        <v>45849</v>
      </c>
      <c r="F138" s="13" t="s">
        <v>45</v>
      </c>
      <c r="G138" s="14">
        <v>15</v>
      </c>
      <c r="H138" s="13" t="s">
        <v>50</v>
      </c>
      <c r="I138" s="13" t="s">
        <v>40</v>
      </c>
      <c r="J138" s="14">
        <v>30</v>
      </c>
      <c r="K138" s="13" t="s">
        <v>40</v>
      </c>
      <c r="L138" s="14">
        <v>20</v>
      </c>
      <c r="M138" s="14">
        <f t="shared" si="4"/>
        <v>65</v>
      </c>
      <c r="N138" s="14">
        <v>7</v>
      </c>
      <c r="O138" s="10" t="s">
        <v>51</v>
      </c>
      <c r="P138" s="15">
        <f t="shared" si="5"/>
        <v>58</v>
      </c>
    </row>
    <row r="139" spans="1:16" x14ac:dyDescent="0.25">
      <c r="A139" s="10">
        <v>1147</v>
      </c>
      <c r="B139" s="10" t="s">
        <v>187</v>
      </c>
      <c r="C139" s="10" t="s">
        <v>49</v>
      </c>
      <c r="D139" s="11">
        <v>45850</v>
      </c>
      <c r="E139" s="12">
        <v>45850</v>
      </c>
      <c r="F139" s="13" t="s">
        <v>40</v>
      </c>
      <c r="G139" s="14">
        <v>10</v>
      </c>
      <c r="H139" s="13" t="s">
        <v>46</v>
      </c>
      <c r="I139" s="13" t="s">
        <v>45</v>
      </c>
      <c r="J139" s="14">
        <v>0</v>
      </c>
      <c r="K139" s="13" t="s">
        <v>40</v>
      </c>
      <c r="L139" s="14">
        <v>20</v>
      </c>
      <c r="M139" s="14">
        <f t="shared" si="4"/>
        <v>30</v>
      </c>
      <c r="N139" s="14">
        <v>10</v>
      </c>
      <c r="O139" s="10" t="s">
        <v>51</v>
      </c>
      <c r="P139" s="15">
        <f t="shared" si="5"/>
        <v>20</v>
      </c>
    </row>
    <row r="140" spans="1:16" x14ac:dyDescent="0.25">
      <c r="A140" s="9">
        <v>1148</v>
      </c>
      <c r="B140" s="10" t="s">
        <v>188</v>
      </c>
      <c r="C140" s="10" t="s">
        <v>44</v>
      </c>
      <c r="D140" s="11">
        <v>45851</v>
      </c>
      <c r="E140" s="12">
        <v>45851</v>
      </c>
      <c r="F140" s="13" t="s">
        <v>45</v>
      </c>
      <c r="G140" s="14">
        <v>5</v>
      </c>
      <c r="H140" s="13" t="s">
        <v>50</v>
      </c>
      <c r="I140" s="13" t="s">
        <v>45</v>
      </c>
      <c r="J140" s="14">
        <v>0</v>
      </c>
      <c r="K140" s="13" t="s">
        <v>45</v>
      </c>
      <c r="L140" s="14">
        <v>0</v>
      </c>
      <c r="M140" s="14">
        <f t="shared" si="4"/>
        <v>5</v>
      </c>
      <c r="N140" s="14">
        <v>1</v>
      </c>
      <c r="O140" s="10" t="s">
        <v>58</v>
      </c>
      <c r="P140" s="15">
        <f t="shared" si="5"/>
        <v>4</v>
      </c>
    </row>
    <row r="141" spans="1:16" x14ac:dyDescent="0.25">
      <c r="A141" s="10">
        <v>1149</v>
      </c>
      <c r="B141" s="10" t="s">
        <v>189</v>
      </c>
      <c r="C141" s="10" t="s">
        <v>39</v>
      </c>
      <c r="D141" s="11">
        <v>45852</v>
      </c>
      <c r="E141" s="12">
        <v>45852</v>
      </c>
      <c r="F141" s="13" t="s">
        <v>40</v>
      </c>
      <c r="G141" s="14">
        <v>15</v>
      </c>
      <c r="H141" s="13" t="s">
        <v>41</v>
      </c>
      <c r="I141" s="13" t="s">
        <v>40</v>
      </c>
      <c r="J141" s="14">
        <v>30</v>
      </c>
      <c r="K141" s="13" t="s">
        <v>40</v>
      </c>
      <c r="L141" s="14">
        <v>20</v>
      </c>
      <c r="M141" s="14">
        <f t="shared" si="4"/>
        <v>65</v>
      </c>
      <c r="N141" s="14">
        <v>15</v>
      </c>
      <c r="O141" s="10" t="s">
        <v>47</v>
      </c>
      <c r="P141" s="15">
        <f t="shared" si="5"/>
        <v>50</v>
      </c>
    </row>
    <row r="142" spans="1:16" x14ac:dyDescent="0.25">
      <c r="A142" s="9">
        <v>1150</v>
      </c>
      <c r="B142" s="10" t="s">
        <v>190</v>
      </c>
      <c r="C142" s="10" t="s">
        <v>49</v>
      </c>
      <c r="D142" s="11">
        <v>45853</v>
      </c>
      <c r="E142" s="12">
        <v>45853</v>
      </c>
      <c r="F142" s="13" t="s">
        <v>45</v>
      </c>
      <c r="G142" s="14">
        <v>10</v>
      </c>
      <c r="H142" s="13" t="s">
        <v>41</v>
      </c>
      <c r="I142" s="13" t="s">
        <v>45</v>
      </c>
      <c r="J142" s="14">
        <v>0</v>
      </c>
      <c r="K142" s="13" t="s">
        <v>40</v>
      </c>
      <c r="L142" s="14">
        <v>20</v>
      </c>
      <c r="M142" s="14">
        <f t="shared" si="4"/>
        <v>30</v>
      </c>
      <c r="N142" s="14">
        <v>5</v>
      </c>
      <c r="O142" s="10" t="s">
        <v>51</v>
      </c>
      <c r="P142" s="15">
        <f t="shared" si="5"/>
        <v>25</v>
      </c>
    </row>
    <row r="143" spans="1:16" x14ac:dyDescent="0.25">
      <c r="A143" s="10">
        <v>1151</v>
      </c>
      <c r="B143" s="10" t="s">
        <v>191</v>
      </c>
      <c r="C143" s="10" t="s">
        <v>44</v>
      </c>
      <c r="D143" s="11">
        <v>45854</v>
      </c>
      <c r="E143" s="12">
        <v>45854</v>
      </c>
      <c r="F143" s="13" t="s">
        <v>40</v>
      </c>
      <c r="G143" s="14">
        <v>5</v>
      </c>
      <c r="H143" s="13" t="s">
        <v>46</v>
      </c>
      <c r="I143" s="13" t="s">
        <v>45</v>
      </c>
      <c r="J143" s="14">
        <v>0</v>
      </c>
      <c r="K143" s="13" t="s">
        <v>45</v>
      </c>
      <c r="L143" s="14">
        <v>0</v>
      </c>
      <c r="M143" s="14">
        <f t="shared" si="4"/>
        <v>5</v>
      </c>
      <c r="N143" s="14">
        <v>0</v>
      </c>
      <c r="O143" s="10" t="s">
        <v>58</v>
      </c>
      <c r="P143" s="15">
        <f t="shared" si="5"/>
        <v>5</v>
      </c>
    </row>
    <row r="144" spans="1:16" x14ac:dyDescent="0.25">
      <c r="A144" s="9">
        <v>1152</v>
      </c>
      <c r="B144" s="10" t="s">
        <v>192</v>
      </c>
      <c r="C144" s="10" t="s">
        <v>39</v>
      </c>
      <c r="D144" s="11">
        <v>45855</v>
      </c>
      <c r="E144" s="12">
        <v>45855</v>
      </c>
      <c r="F144" s="13" t="s">
        <v>45</v>
      </c>
      <c r="G144" s="14">
        <v>15</v>
      </c>
      <c r="H144" s="13" t="s">
        <v>50</v>
      </c>
      <c r="I144" s="13" t="s">
        <v>40</v>
      </c>
      <c r="J144" s="14">
        <v>30</v>
      </c>
      <c r="K144" s="13" t="s">
        <v>40</v>
      </c>
      <c r="L144" s="14">
        <v>20</v>
      </c>
      <c r="M144" s="14">
        <f t="shared" si="4"/>
        <v>65</v>
      </c>
      <c r="N144" s="14">
        <v>20</v>
      </c>
      <c r="O144" s="10" t="s">
        <v>42</v>
      </c>
      <c r="P144" s="15">
        <f t="shared" si="5"/>
        <v>45</v>
      </c>
    </row>
    <row r="145" spans="1:16" x14ac:dyDescent="0.25">
      <c r="A145" s="10">
        <v>1153</v>
      </c>
      <c r="B145" s="10" t="s">
        <v>193</v>
      </c>
      <c r="C145" s="10" t="s">
        <v>49</v>
      </c>
      <c r="D145" s="11">
        <v>45856</v>
      </c>
      <c r="E145" s="12">
        <v>45856</v>
      </c>
      <c r="F145" s="13" t="s">
        <v>40</v>
      </c>
      <c r="G145" s="14">
        <v>10</v>
      </c>
      <c r="H145" s="13" t="s">
        <v>50</v>
      </c>
      <c r="I145" s="13" t="s">
        <v>45</v>
      </c>
      <c r="J145" s="14">
        <v>0</v>
      </c>
      <c r="K145" s="13" t="s">
        <v>40</v>
      </c>
      <c r="L145" s="14">
        <v>20</v>
      </c>
      <c r="M145" s="14">
        <f t="shared" si="4"/>
        <v>30</v>
      </c>
      <c r="N145" s="14">
        <v>12</v>
      </c>
      <c r="O145" s="10" t="s">
        <v>58</v>
      </c>
      <c r="P145" s="15">
        <f t="shared" si="5"/>
        <v>18</v>
      </c>
    </row>
    <row r="146" spans="1:16" x14ac:dyDescent="0.25">
      <c r="A146" s="9">
        <v>1154</v>
      </c>
      <c r="B146" s="10" t="s">
        <v>194</v>
      </c>
      <c r="C146" s="10" t="s">
        <v>44</v>
      </c>
      <c r="D146" s="11">
        <v>45857</v>
      </c>
      <c r="E146" s="12">
        <v>45857</v>
      </c>
      <c r="F146" s="13" t="s">
        <v>45</v>
      </c>
      <c r="G146" s="14">
        <v>5</v>
      </c>
      <c r="H146" s="13" t="s">
        <v>41</v>
      </c>
      <c r="I146" s="13" t="s">
        <v>45</v>
      </c>
      <c r="J146" s="14">
        <v>0</v>
      </c>
      <c r="K146" s="13" t="s">
        <v>45</v>
      </c>
      <c r="L146" s="14">
        <v>0</v>
      </c>
      <c r="M146" s="14">
        <f t="shared" si="4"/>
        <v>5</v>
      </c>
      <c r="N146" s="14">
        <v>2</v>
      </c>
      <c r="O146" s="10" t="s">
        <v>58</v>
      </c>
      <c r="P146" s="15">
        <f t="shared" si="5"/>
        <v>3</v>
      </c>
    </row>
    <row r="147" spans="1:16" x14ac:dyDescent="0.25">
      <c r="A147" s="10">
        <v>1155</v>
      </c>
      <c r="B147" s="10" t="s">
        <v>195</v>
      </c>
      <c r="C147" s="10" t="s">
        <v>39</v>
      </c>
      <c r="D147" s="11">
        <v>45858</v>
      </c>
      <c r="E147" s="12">
        <v>45858</v>
      </c>
      <c r="F147" s="13" t="s">
        <v>40</v>
      </c>
      <c r="G147" s="14">
        <v>15</v>
      </c>
      <c r="H147" s="13" t="s">
        <v>46</v>
      </c>
      <c r="I147" s="13" t="s">
        <v>40</v>
      </c>
      <c r="J147" s="14">
        <v>30</v>
      </c>
      <c r="K147" s="13" t="s">
        <v>40</v>
      </c>
      <c r="L147" s="14">
        <v>20</v>
      </c>
      <c r="M147" s="14">
        <f t="shared" si="4"/>
        <v>65</v>
      </c>
      <c r="N147" s="14">
        <v>5</v>
      </c>
      <c r="O147" s="10" t="s">
        <v>47</v>
      </c>
      <c r="P147" s="15">
        <f t="shared" si="5"/>
        <v>60</v>
      </c>
    </row>
    <row r="148" spans="1:16" x14ac:dyDescent="0.25">
      <c r="A148" s="9">
        <v>1156</v>
      </c>
      <c r="B148" s="10" t="s">
        <v>196</v>
      </c>
      <c r="C148" s="10" t="s">
        <v>49</v>
      </c>
      <c r="D148" s="11">
        <v>45859</v>
      </c>
      <c r="E148" s="12">
        <v>45859</v>
      </c>
      <c r="F148" s="13" t="s">
        <v>45</v>
      </c>
      <c r="G148" s="14">
        <v>10</v>
      </c>
      <c r="H148" s="13" t="s">
        <v>41</v>
      </c>
      <c r="I148" s="13" t="s">
        <v>45</v>
      </c>
      <c r="J148" s="14">
        <v>0</v>
      </c>
      <c r="K148" s="13" t="s">
        <v>40</v>
      </c>
      <c r="L148" s="14">
        <v>20</v>
      </c>
      <c r="M148" s="14">
        <f t="shared" si="4"/>
        <v>30</v>
      </c>
      <c r="N148" s="14">
        <v>10</v>
      </c>
      <c r="O148" s="10" t="s">
        <v>42</v>
      </c>
      <c r="P148" s="15">
        <f t="shared" si="5"/>
        <v>20</v>
      </c>
    </row>
    <row r="149" spans="1:16" x14ac:dyDescent="0.25">
      <c r="A149" s="10">
        <v>1157</v>
      </c>
      <c r="B149" s="10" t="s">
        <v>197</v>
      </c>
      <c r="C149" s="10" t="s">
        <v>44</v>
      </c>
      <c r="D149" s="11">
        <v>45860</v>
      </c>
      <c r="E149" s="12">
        <v>45860</v>
      </c>
      <c r="F149" s="13" t="s">
        <v>40</v>
      </c>
      <c r="G149" s="14">
        <v>5</v>
      </c>
      <c r="H149" s="13" t="s">
        <v>50</v>
      </c>
      <c r="I149" s="13" t="s">
        <v>45</v>
      </c>
      <c r="J149" s="14">
        <v>0</v>
      </c>
      <c r="K149" s="13" t="s">
        <v>45</v>
      </c>
      <c r="L149" s="14">
        <v>0</v>
      </c>
      <c r="M149" s="14">
        <f t="shared" si="4"/>
        <v>5</v>
      </c>
      <c r="N149" s="14">
        <v>0</v>
      </c>
      <c r="O149" s="10" t="s">
        <v>51</v>
      </c>
      <c r="P149" s="15">
        <f t="shared" si="5"/>
        <v>5</v>
      </c>
    </row>
    <row r="150" spans="1:16" x14ac:dyDescent="0.25">
      <c r="A150" s="9">
        <v>1158</v>
      </c>
      <c r="B150" s="10" t="s">
        <v>198</v>
      </c>
      <c r="C150" s="10" t="s">
        <v>39</v>
      </c>
      <c r="D150" s="11">
        <v>45861</v>
      </c>
      <c r="E150" s="12">
        <v>45861</v>
      </c>
      <c r="F150" s="13" t="s">
        <v>45</v>
      </c>
      <c r="G150" s="14">
        <v>15</v>
      </c>
      <c r="H150" s="13" t="s">
        <v>41</v>
      </c>
      <c r="I150" s="13" t="s">
        <v>40</v>
      </c>
      <c r="J150" s="14">
        <v>30</v>
      </c>
      <c r="K150" s="13" t="s">
        <v>40</v>
      </c>
      <c r="L150" s="14">
        <v>20</v>
      </c>
      <c r="M150" s="14">
        <f t="shared" si="4"/>
        <v>65</v>
      </c>
      <c r="N150" s="14">
        <v>3</v>
      </c>
      <c r="O150" s="10" t="s">
        <v>42</v>
      </c>
      <c r="P150" s="15">
        <f t="shared" si="5"/>
        <v>62</v>
      </c>
    </row>
    <row r="151" spans="1:16" x14ac:dyDescent="0.25">
      <c r="A151" s="10">
        <v>1159</v>
      </c>
      <c r="B151" s="10" t="s">
        <v>199</v>
      </c>
      <c r="C151" s="10" t="s">
        <v>49</v>
      </c>
      <c r="D151" s="11">
        <v>45862</v>
      </c>
      <c r="E151" s="12">
        <v>45862</v>
      </c>
      <c r="F151" s="13" t="s">
        <v>40</v>
      </c>
      <c r="G151" s="14">
        <v>10</v>
      </c>
      <c r="H151" s="13" t="s">
        <v>46</v>
      </c>
      <c r="I151" s="13" t="s">
        <v>45</v>
      </c>
      <c r="J151" s="14">
        <v>0</v>
      </c>
      <c r="K151" s="13" t="s">
        <v>40</v>
      </c>
      <c r="L151" s="14">
        <v>20</v>
      </c>
      <c r="M151" s="14">
        <f t="shared" si="4"/>
        <v>30</v>
      </c>
      <c r="N151" s="14">
        <v>15</v>
      </c>
      <c r="O151" s="10" t="s">
        <v>58</v>
      </c>
      <c r="P151" s="15">
        <f t="shared" si="5"/>
        <v>15</v>
      </c>
    </row>
    <row r="152" spans="1:16" x14ac:dyDescent="0.25">
      <c r="A152" s="9">
        <v>1160</v>
      </c>
      <c r="B152" s="10" t="s">
        <v>200</v>
      </c>
      <c r="C152" s="10" t="s">
        <v>44</v>
      </c>
      <c r="D152" s="11">
        <v>45863</v>
      </c>
      <c r="E152" s="12">
        <v>45863</v>
      </c>
      <c r="F152" s="13" t="s">
        <v>45</v>
      </c>
      <c r="G152" s="14">
        <v>5</v>
      </c>
      <c r="H152" s="13" t="s">
        <v>41</v>
      </c>
      <c r="I152" s="13" t="s">
        <v>45</v>
      </c>
      <c r="J152" s="14">
        <v>0</v>
      </c>
      <c r="K152" s="13" t="s">
        <v>45</v>
      </c>
      <c r="L152" s="14">
        <v>0</v>
      </c>
      <c r="M152" s="14">
        <f t="shared" si="4"/>
        <v>5</v>
      </c>
      <c r="N152" s="14">
        <v>1</v>
      </c>
      <c r="O152" s="10" t="s">
        <v>47</v>
      </c>
      <c r="P152" s="15">
        <f t="shared" si="5"/>
        <v>4</v>
      </c>
    </row>
    <row r="153" spans="1:16" x14ac:dyDescent="0.25">
      <c r="A153" s="10">
        <v>1161</v>
      </c>
      <c r="B153" s="10" t="s">
        <v>201</v>
      </c>
      <c r="C153" s="10" t="s">
        <v>39</v>
      </c>
      <c r="D153" s="11">
        <v>45864</v>
      </c>
      <c r="E153" s="12">
        <v>45864</v>
      </c>
      <c r="F153" s="13" t="s">
        <v>40</v>
      </c>
      <c r="G153" s="14">
        <v>15</v>
      </c>
      <c r="H153" s="13" t="s">
        <v>50</v>
      </c>
      <c r="I153" s="13" t="s">
        <v>40</v>
      </c>
      <c r="J153" s="14">
        <v>30</v>
      </c>
      <c r="K153" s="13" t="s">
        <v>40</v>
      </c>
      <c r="L153" s="14">
        <v>20</v>
      </c>
      <c r="M153" s="14">
        <f t="shared" si="4"/>
        <v>65</v>
      </c>
      <c r="N153" s="14">
        <v>7</v>
      </c>
      <c r="O153" s="10" t="s">
        <v>51</v>
      </c>
      <c r="P153" s="15">
        <f t="shared" si="5"/>
        <v>58</v>
      </c>
    </row>
    <row r="154" spans="1:16" x14ac:dyDescent="0.25">
      <c r="A154" s="9">
        <v>1162</v>
      </c>
      <c r="B154" s="10" t="s">
        <v>202</v>
      </c>
      <c r="C154" s="10" t="s">
        <v>49</v>
      </c>
      <c r="D154" s="11">
        <v>45865</v>
      </c>
      <c r="E154" s="12">
        <v>45865</v>
      </c>
      <c r="F154" s="13" t="s">
        <v>45</v>
      </c>
      <c r="G154" s="14">
        <v>10</v>
      </c>
      <c r="H154" s="13" t="s">
        <v>41</v>
      </c>
      <c r="I154" s="13" t="s">
        <v>45</v>
      </c>
      <c r="J154" s="14">
        <v>0</v>
      </c>
      <c r="K154" s="13" t="s">
        <v>40</v>
      </c>
      <c r="L154" s="14">
        <v>20</v>
      </c>
      <c r="M154" s="14">
        <f t="shared" si="4"/>
        <v>30</v>
      </c>
      <c r="N154" s="14">
        <v>10</v>
      </c>
      <c r="O154" s="10" t="s">
        <v>47</v>
      </c>
      <c r="P154" s="15">
        <f t="shared" si="5"/>
        <v>20</v>
      </c>
    </row>
    <row r="155" spans="1:16" x14ac:dyDescent="0.25">
      <c r="A155" s="10">
        <v>1163</v>
      </c>
      <c r="B155" s="10" t="s">
        <v>203</v>
      </c>
      <c r="C155" s="10" t="s">
        <v>44</v>
      </c>
      <c r="D155" s="11">
        <v>45866</v>
      </c>
      <c r="E155" s="12">
        <v>45866</v>
      </c>
      <c r="F155" s="13" t="s">
        <v>40</v>
      </c>
      <c r="G155" s="14">
        <v>5</v>
      </c>
      <c r="H155" s="13" t="s">
        <v>46</v>
      </c>
      <c r="I155" s="13" t="s">
        <v>45</v>
      </c>
      <c r="J155" s="14">
        <v>0</v>
      </c>
      <c r="K155" s="13" t="s">
        <v>45</v>
      </c>
      <c r="L155" s="14">
        <v>0</v>
      </c>
      <c r="M155" s="14">
        <f t="shared" si="4"/>
        <v>5</v>
      </c>
      <c r="N155" s="14">
        <v>0</v>
      </c>
      <c r="O155" s="10" t="s">
        <v>47</v>
      </c>
      <c r="P155" s="15">
        <f t="shared" si="5"/>
        <v>5</v>
      </c>
    </row>
    <row r="156" spans="1:16" x14ac:dyDescent="0.25">
      <c r="A156" s="9">
        <v>1164</v>
      </c>
      <c r="B156" s="10" t="s">
        <v>204</v>
      </c>
      <c r="C156" s="10" t="s">
        <v>39</v>
      </c>
      <c r="D156" s="11">
        <v>45867</v>
      </c>
      <c r="E156" s="12">
        <v>45867</v>
      </c>
      <c r="F156" s="13" t="s">
        <v>45</v>
      </c>
      <c r="G156" s="14">
        <v>15</v>
      </c>
      <c r="H156" s="13" t="s">
        <v>41</v>
      </c>
      <c r="I156" s="13" t="s">
        <v>40</v>
      </c>
      <c r="J156" s="14">
        <v>30</v>
      </c>
      <c r="K156" s="13" t="s">
        <v>40</v>
      </c>
      <c r="L156" s="14">
        <v>20</v>
      </c>
      <c r="M156" s="14">
        <f t="shared" si="4"/>
        <v>65</v>
      </c>
      <c r="N156" s="14">
        <v>20</v>
      </c>
      <c r="O156" s="10" t="s">
        <v>47</v>
      </c>
      <c r="P156" s="15">
        <f t="shared" si="5"/>
        <v>45</v>
      </c>
    </row>
    <row r="157" spans="1:16" x14ac:dyDescent="0.25">
      <c r="A157" s="10">
        <v>1165</v>
      </c>
      <c r="B157" s="10" t="s">
        <v>205</v>
      </c>
      <c r="C157" s="10" t="s">
        <v>49</v>
      </c>
      <c r="D157" s="11">
        <v>45868</v>
      </c>
      <c r="E157" s="12">
        <v>45868</v>
      </c>
      <c r="F157" s="13" t="s">
        <v>40</v>
      </c>
      <c r="G157" s="14">
        <v>10</v>
      </c>
      <c r="H157" s="13" t="s">
        <v>50</v>
      </c>
      <c r="I157" s="13" t="s">
        <v>45</v>
      </c>
      <c r="J157" s="14">
        <v>0</v>
      </c>
      <c r="K157" s="13" t="s">
        <v>40</v>
      </c>
      <c r="L157" s="14">
        <v>20</v>
      </c>
      <c r="M157" s="14">
        <f t="shared" si="4"/>
        <v>30</v>
      </c>
      <c r="N157" s="14">
        <v>15</v>
      </c>
      <c r="O157" s="10" t="s">
        <v>51</v>
      </c>
      <c r="P157" s="15">
        <f t="shared" si="5"/>
        <v>15</v>
      </c>
    </row>
    <row r="158" spans="1:16" x14ac:dyDescent="0.25">
      <c r="A158" s="9">
        <v>1166</v>
      </c>
      <c r="B158" s="10" t="s">
        <v>206</v>
      </c>
      <c r="C158" s="10" t="s">
        <v>44</v>
      </c>
      <c r="D158" s="11">
        <v>45869</v>
      </c>
      <c r="E158" s="12">
        <v>45869</v>
      </c>
      <c r="F158" s="13" t="s">
        <v>45</v>
      </c>
      <c r="G158" s="14">
        <v>5</v>
      </c>
      <c r="H158" s="13" t="s">
        <v>41</v>
      </c>
      <c r="I158" s="13" t="s">
        <v>45</v>
      </c>
      <c r="J158" s="14">
        <v>0</v>
      </c>
      <c r="K158" s="13" t="s">
        <v>45</v>
      </c>
      <c r="L158" s="14">
        <v>0</v>
      </c>
      <c r="M158" s="14">
        <f t="shared" si="4"/>
        <v>5</v>
      </c>
      <c r="N158" s="14">
        <v>1</v>
      </c>
      <c r="O158" s="10" t="s">
        <v>51</v>
      </c>
      <c r="P158" s="15">
        <f t="shared" si="5"/>
        <v>4</v>
      </c>
    </row>
    <row r="159" spans="1:16" x14ac:dyDescent="0.25">
      <c r="A159" s="10">
        <v>1167</v>
      </c>
      <c r="B159" s="10" t="s">
        <v>207</v>
      </c>
      <c r="C159" s="10" t="s">
        <v>39</v>
      </c>
      <c r="D159" s="11">
        <v>45870</v>
      </c>
      <c r="E159" s="12">
        <v>45870</v>
      </c>
      <c r="F159" s="13" t="s">
        <v>40</v>
      </c>
      <c r="G159" s="14">
        <v>15</v>
      </c>
      <c r="H159" s="13" t="s">
        <v>46</v>
      </c>
      <c r="I159" s="13" t="s">
        <v>40</v>
      </c>
      <c r="J159" s="14">
        <v>30</v>
      </c>
      <c r="K159" s="13" t="s">
        <v>40</v>
      </c>
      <c r="L159" s="14">
        <v>20</v>
      </c>
      <c r="M159" s="14">
        <f t="shared" si="4"/>
        <v>65</v>
      </c>
      <c r="N159" s="14">
        <v>3</v>
      </c>
      <c r="O159" s="10" t="s">
        <v>58</v>
      </c>
      <c r="P159" s="15">
        <f t="shared" si="5"/>
        <v>62</v>
      </c>
    </row>
    <row r="160" spans="1:16" x14ac:dyDescent="0.25">
      <c r="A160" s="9">
        <v>1168</v>
      </c>
      <c r="B160" s="10" t="s">
        <v>208</v>
      </c>
      <c r="C160" s="10" t="s">
        <v>49</v>
      </c>
      <c r="D160" s="11">
        <v>45871</v>
      </c>
      <c r="E160" s="12">
        <v>45871</v>
      </c>
      <c r="F160" s="13" t="s">
        <v>45</v>
      </c>
      <c r="G160" s="14">
        <v>10</v>
      </c>
      <c r="H160" s="13" t="s">
        <v>41</v>
      </c>
      <c r="I160" s="13" t="s">
        <v>45</v>
      </c>
      <c r="J160" s="14">
        <v>0</v>
      </c>
      <c r="K160" s="13" t="s">
        <v>40</v>
      </c>
      <c r="L160" s="14">
        <v>20</v>
      </c>
      <c r="M160" s="14">
        <f t="shared" si="4"/>
        <v>30</v>
      </c>
      <c r="N160" s="14">
        <v>10</v>
      </c>
      <c r="O160" s="10" t="s">
        <v>58</v>
      </c>
      <c r="P160" s="15">
        <f t="shared" si="5"/>
        <v>20</v>
      </c>
    </row>
    <row r="161" spans="1:16" x14ac:dyDescent="0.25">
      <c r="A161" s="10">
        <v>1169</v>
      </c>
      <c r="B161" s="10" t="s">
        <v>209</v>
      </c>
      <c r="C161" s="10" t="s">
        <v>44</v>
      </c>
      <c r="D161" s="11">
        <v>45872</v>
      </c>
      <c r="E161" s="12">
        <v>45872</v>
      </c>
      <c r="F161" s="13" t="s">
        <v>40</v>
      </c>
      <c r="G161" s="14">
        <v>5</v>
      </c>
      <c r="H161" s="13" t="s">
        <v>50</v>
      </c>
      <c r="I161" s="13" t="s">
        <v>45</v>
      </c>
      <c r="J161" s="14">
        <v>0</v>
      </c>
      <c r="K161" s="13" t="s">
        <v>45</v>
      </c>
      <c r="L161" s="14">
        <v>0</v>
      </c>
      <c r="M161" s="14">
        <f t="shared" si="4"/>
        <v>5</v>
      </c>
      <c r="N161" s="14">
        <v>0</v>
      </c>
      <c r="O161" s="10" t="s">
        <v>51</v>
      </c>
      <c r="P161" s="15">
        <f t="shared" si="5"/>
        <v>5</v>
      </c>
    </row>
    <row r="162" spans="1:16" x14ac:dyDescent="0.25">
      <c r="A162" s="9">
        <v>1170</v>
      </c>
      <c r="B162" s="10" t="s">
        <v>109</v>
      </c>
      <c r="C162" s="10" t="s">
        <v>39</v>
      </c>
      <c r="D162" s="11">
        <v>45873</v>
      </c>
      <c r="E162" s="12">
        <v>45873</v>
      </c>
      <c r="F162" s="13" t="s">
        <v>45</v>
      </c>
      <c r="G162" s="14">
        <v>15</v>
      </c>
      <c r="H162" s="13" t="s">
        <v>41</v>
      </c>
      <c r="I162" s="13" t="s">
        <v>40</v>
      </c>
      <c r="J162" s="14">
        <v>30</v>
      </c>
      <c r="K162" s="13" t="s">
        <v>40</v>
      </c>
      <c r="L162" s="14">
        <v>20</v>
      </c>
      <c r="M162" s="14">
        <f t="shared" si="4"/>
        <v>65</v>
      </c>
      <c r="N162" s="14">
        <v>15</v>
      </c>
      <c r="O162" s="10" t="s">
        <v>51</v>
      </c>
      <c r="P162" s="15">
        <f t="shared" si="5"/>
        <v>50</v>
      </c>
    </row>
    <row r="163" spans="1:16" x14ac:dyDescent="0.25">
      <c r="A163" s="10">
        <v>1171</v>
      </c>
      <c r="B163" s="10" t="s">
        <v>210</v>
      </c>
      <c r="C163" s="10" t="s">
        <v>49</v>
      </c>
      <c r="D163" s="11">
        <v>45874</v>
      </c>
      <c r="E163" s="12">
        <v>45874</v>
      </c>
      <c r="F163" s="13" t="s">
        <v>40</v>
      </c>
      <c r="G163" s="14">
        <v>10</v>
      </c>
      <c r="H163" s="13" t="s">
        <v>46</v>
      </c>
      <c r="I163" s="13" t="s">
        <v>45</v>
      </c>
      <c r="J163" s="14">
        <v>0</v>
      </c>
      <c r="K163" s="13" t="s">
        <v>40</v>
      </c>
      <c r="L163" s="14">
        <v>20</v>
      </c>
      <c r="M163" s="14">
        <f t="shared" si="4"/>
        <v>30</v>
      </c>
      <c r="N163" s="14">
        <v>15</v>
      </c>
      <c r="O163" s="10" t="s">
        <v>58</v>
      </c>
      <c r="P163" s="15">
        <f t="shared" si="5"/>
        <v>15</v>
      </c>
    </row>
    <row r="164" spans="1:16" x14ac:dyDescent="0.25">
      <c r="A164" s="9">
        <v>1172</v>
      </c>
      <c r="B164" s="10" t="s">
        <v>211</v>
      </c>
      <c r="C164" s="10" t="s">
        <v>44</v>
      </c>
      <c r="D164" s="11">
        <v>45875</v>
      </c>
      <c r="E164" s="12">
        <v>45875</v>
      </c>
      <c r="F164" s="13" t="s">
        <v>45</v>
      </c>
      <c r="G164" s="14">
        <v>5</v>
      </c>
      <c r="H164" s="13" t="s">
        <v>41</v>
      </c>
      <c r="I164" s="13" t="s">
        <v>45</v>
      </c>
      <c r="J164" s="14">
        <v>0</v>
      </c>
      <c r="K164" s="13" t="s">
        <v>45</v>
      </c>
      <c r="L164" s="14">
        <v>0</v>
      </c>
      <c r="M164" s="14">
        <f t="shared" si="4"/>
        <v>5</v>
      </c>
      <c r="N164" s="14">
        <v>1</v>
      </c>
      <c r="O164" s="10" t="s">
        <v>47</v>
      </c>
      <c r="P164" s="15">
        <f t="shared" si="5"/>
        <v>4</v>
      </c>
    </row>
    <row r="165" spans="1:16" x14ac:dyDescent="0.25">
      <c r="A165" s="10">
        <v>1173</v>
      </c>
      <c r="B165" s="10" t="s">
        <v>212</v>
      </c>
      <c r="C165" s="10" t="s">
        <v>39</v>
      </c>
      <c r="D165" s="11">
        <v>45876</v>
      </c>
      <c r="E165" s="12">
        <v>45876</v>
      </c>
      <c r="F165" s="13" t="s">
        <v>40</v>
      </c>
      <c r="G165" s="14">
        <v>15</v>
      </c>
      <c r="H165" s="13" t="s">
        <v>50</v>
      </c>
      <c r="I165" s="13" t="s">
        <v>40</v>
      </c>
      <c r="J165" s="14">
        <v>30</v>
      </c>
      <c r="K165" s="13" t="s">
        <v>40</v>
      </c>
      <c r="L165" s="14">
        <v>20</v>
      </c>
      <c r="M165" s="14">
        <f t="shared" si="4"/>
        <v>65</v>
      </c>
      <c r="N165" s="14">
        <v>7</v>
      </c>
      <c r="O165" s="10" t="s">
        <v>58</v>
      </c>
      <c r="P165" s="15">
        <f t="shared" si="5"/>
        <v>58</v>
      </c>
    </row>
    <row r="166" spans="1:16" x14ac:dyDescent="0.25">
      <c r="A166" s="9">
        <v>1174</v>
      </c>
      <c r="B166" s="10" t="s">
        <v>213</v>
      </c>
      <c r="C166" s="10" t="s">
        <v>49</v>
      </c>
      <c r="D166" s="11">
        <v>45877</v>
      </c>
      <c r="E166" s="12">
        <v>45877</v>
      </c>
      <c r="F166" s="13" t="s">
        <v>45</v>
      </c>
      <c r="G166" s="14">
        <v>10</v>
      </c>
      <c r="H166" s="13" t="s">
        <v>41</v>
      </c>
      <c r="I166" s="13" t="s">
        <v>45</v>
      </c>
      <c r="J166" s="14">
        <v>0</v>
      </c>
      <c r="K166" s="13" t="s">
        <v>40</v>
      </c>
      <c r="L166" s="14">
        <v>20</v>
      </c>
      <c r="M166" s="14">
        <f t="shared" si="4"/>
        <v>30</v>
      </c>
      <c r="N166" s="14">
        <v>10</v>
      </c>
      <c r="O166" s="10" t="s">
        <v>42</v>
      </c>
      <c r="P166" s="15">
        <f t="shared" si="5"/>
        <v>20</v>
      </c>
    </row>
    <row r="167" spans="1:16" x14ac:dyDescent="0.25">
      <c r="A167" s="10">
        <v>1175</v>
      </c>
      <c r="B167" s="10" t="s">
        <v>214</v>
      </c>
      <c r="C167" s="10" t="s">
        <v>44</v>
      </c>
      <c r="D167" s="11">
        <v>45878</v>
      </c>
      <c r="E167" s="12">
        <v>45878</v>
      </c>
      <c r="F167" s="13" t="s">
        <v>40</v>
      </c>
      <c r="G167" s="14">
        <v>5</v>
      </c>
      <c r="H167" s="13" t="s">
        <v>46</v>
      </c>
      <c r="I167" s="13" t="s">
        <v>45</v>
      </c>
      <c r="J167" s="14">
        <v>0</v>
      </c>
      <c r="K167" s="13" t="s">
        <v>45</v>
      </c>
      <c r="L167" s="14">
        <v>0</v>
      </c>
      <c r="M167" s="14">
        <f t="shared" si="4"/>
        <v>5</v>
      </c>
      <c r="N167" s="14">
        <v>0</v>
      </c>
      <c r="O167" s="10" t="s">
        <v>42</v>
      </c>
      <c r="P167" s="15">
        <f t="shared" si="5"/>
        <v>5</v>
      </c>
    </row>
    <row r="168" spans="1:16" x14ac:dyDescent="0.25">
      <c r="A168" s="9">
        <v>1176</v>
      </c>
      <c r="B168" s="10" t="s">
        <v>141</v>
      </c>
      <c r="C168" s="10" t="s">
        <v>39</v>
      </c>
      <c r="D168" s="11">
        <v>45879</v>
      </c>
      <c r="E168" s="12">
        <v>45879</v>
      </c>
      <c r="F168" s="13" t="s">
        <v>45</v>
      </c>
      <c r="G168" s="14">
        <v>15</v>
      </c>
      <c r="H168" s="13" t="s">
        <v>41</v>
      </c>
      <c r="I168" s="13" t="s">
        <v>40</v>
      </c>
      <c r="J168" s="14">
        <v>30</v>
      </c>
      <c r="K168" s="13" t="s">
        <v>40</v>
      </c>
      <c r="L168" s="14">
        <v>20</v>
      </c>
      <c r="M168" s="14">
        <f t="shared" si="4"/>
        <v>65</v>
      </c>
      <c r="N168" s="14">
        <v>20</v>
      </c>
      <c r="O168" s="10" t="s">
        <v>47</v>
      </c>
      <c r="P168" s="15">
        <f t="shared" si="5"/>
        <v>45</v>
      </c>
    </row>
    <row r="169" spans="1:16" x14ac:dyDescent="0.25">
      <c r="A169" s="10">
        <v>1177</v>
      </c>
      <c r="B169" s="10" t="s">
        <v>215</v>
      </c>
      <c r="C169" s="10" t="s">
        <v>49</v>
      </c>
      <c r="D169" s="11">
        <v>45880</v>
      </c>
      <c r="E169" s="12">
        <v>45880</v>
      </c>
      <c r="F169" s="13" t="s">
        <v>40</v>
      </c>
      <c r="G169" s="14">
        <v>10</v>
      </c>
      <c r="H169" s="13" t="s">
        <v>50</v>
      </c>
      <c r="I169" s="13" t="s">
        <v>45</v>
      </c>
      <c r="J169" s="14">
        <v>0</v>
      </c>
      <c r="K169" s="13" t="s">
        <v>40</v>
      </c>
      <c r="L169" s="14">
        <v>20</v>
      </c>
      <c r="M169" s="14">
        <f t="shared" si="4"/>
        <v>30</v>
      </c>
      <c r="N169" s="14">
        <v>15</v>
      </c>
      <c r="O169" s="10" t="s">
        <v>51</v>
      </c>
      <c r="P169" s="15">
        <f t="shared" si="5"/>
        <v>15</v>
      </c>
    </row>
    <row r="170" spans="1:16" x14ac:dyDescent="0.25">
      <c r="A170" s="9">
        <v>1178</v>
      </c>
      <c r="B170" s="10" t="s">
        <v>216</v>
      </c>
      <c r="C170" s="10" t="s">
        <v>44</v>
      </c>
      <c r="D170" s="11">
        <v>45881</v>
      </c>
      <c r="E170" s="12">
        <v>45881</v>
      </c>
      <c r="F170" s="13" t="s">
        <v>45</v>
      </c>
      <c r="G170" s="14">
        <v>5</v>
      </c>
      <c r="H170" s="13" t="s">
        <v>41</v>
      </c>
      <c r="I170" s="13" t="s">
        <v>45</v>
      </c>
      <c r="J170" s="14">
        <v>0</v>
      </c>
      <c r="K170" s="13" t="s">
        <v>45</v>
      </c>
      <c r="L170" s="14">
        <v>0</v>
      </c>
      <c r="M170" s="14">
        <f t="shared" si="4"/>
        <v>5</v>
      </c>
      <c r="N170" s="14">
        <v>1</v>
      </c>
      <c r="O170" s="10" t="s">
        <v>51</v>
      </c>
      <c r="P170" s="15">
        <f t="shared" si="5"/>
        <v>4</v>
      </c>
    </row>
    <row r="171" spans="1:16" x14ac:dyDescent="0.25">
      <c r="A171" s="10">
        <v>1179</v>
      </c>
      <c r="B171" s="10" t="s">
        <v>217</v>
      </c>
      <c r="C171" s="10" t="s">
        <v>39</v>
      </c>
      <c r="D171" s="11">
        <v>45882</v>
      </c>
      <c r="E171" s="12">
        <v>45882</v>
      </c>
      <c r="F171" s="13" t="s">
        <v>40</v>
      </c>
      <c r="G171" s="14">
        <v>15</v>
      </c>
      <c r="H171" s="13" t="s">
        <v>46</v>
      </c>
      <c r="I171" s="13" t="s">
        <v>40</v>
      </c>
      <c r="J171" s="14">
        <v>30</v>
      </c>
      <c r="K171" s="13" t="s">
        <v>40</v>
      </c>
      <c r="L171" s="14">
        <v>20</v>
      </c>
      <c r="M171" s="14">
        <f t="shared" si="4"/>
        <v>65</v>
      </c>
      <c r="N171" s="14">
        <v>5</v>
      </c>
      <c r="O171" s="10" t="s">
        <v>58</v>
      </c>
      <c r="P171" s="15">
        <f t="shared" si="5"/>
        <v>60</v>
      </c>
    </row>
    <row r="172" spans="1:16" x14ac:dyDescent="0.25">
      <c r="A172" s="9">
        <v>1180</v>
      </c>
      <c r="B172" s="10" t="s">
        <v>218</v>
      </c>
      <c r="C172" s="10" t="s">
        <v>49</v>
      </c>
      <c r="D172" s="11">
        <v>45883</v>
      </c>
      <c r="E172" s="12">
        <v>45883</v>
      </c>
      <c r="F172" s="13" t="s">
        <v>45</v>
      </c>
      <c r="G172" s="14">
        <v>10</v>
      </c>
      <c r="H172" s="13" t="s">
        <v>41</v>
      </c>
      <c r="I172" s="13" t="s">
        <v>45</v>
      </c>
      <c r="J172" s="14">
        <v>0</v>
      </c>
      <c r="K172" s="13" t="s">
        <v>40</v>
      </c>
      <c r="L172" s="14">
        <v>20</v>
      </c>
      <c r="M172" s="14">
        <f t="shared" si="4"/>
        <v>30</v>
      </c>
      <c r="N172" s="14">
        <v>10</v>
      </c>
      <c r="O172" s="10" t="s">
        <v>58</v>
      </c>
      <c r="P172" s="15">
        <f t="shared" si="5"/>
        <v>20</v>
      </c>
    </row>
    <row r="173" spans="1:16" x14ac:dyDescent="0.25">
      <c r="A173" s="10">
        <v>1181</v>
      </c>
      <c r="B173" s="10" t="s">
        <v>219</v>
      </c>
      <c r="C173" s="10" t="s">
        <v>44</v>
      </c>
      <c r="D173" s="11">
        <v>45884</v>
      </c>
      <c r="E173" s="12">
        <v>45884</v>
      </c>
      <c r="F173" s="13" t="s">
        <v>40</v>
      </c>
      <c r="G173" s="14">
        <v>5</v>
      </c>
      <c r="H173" s="13" t="s">
        <v>50</v>
      </c>
      <c r="I173" s="13" t="s">
        <v>45</v>
      </c>
      <c r="J173" s="14">
        <v>0</v>
      </c>
      <c r="K173" s="13" t="s">
        <v>45</v>
      </c>
      <c r="L173" s="14">
        <v>0</v>
      </c>
      <c r="M173" s="14">
        <f t="shared" si="4"/>
        <v>5</v>
      </c>
      <c r="N173" s="14">
        <v>0</v>
      </c>
      <c r="O173" s="10" t="s">
        <v>47</v>
      </c>
      <c r="P173" s="15">
        <f t="shared" si="5"/>
        <v>5</v>
      </c>
    </row>
    <row r="174" spans="1:16" x14ac:dyDescent="0.25">
      <c r="A174" s="9">
        <v>1182</v>
      </c>
      <c r="B174" s="10" t="s">
        <v>220</v>
      </c>
      <c r="C174" s="10" t="s">
        <v>39</v>
      </c>
      <c r="D174" s="11">
        <v>45885</v>
      </c>
      <c r="E174" s="12">
        <v>45885</v>
      </c>
      <c r="F174" s="13" t="s">
        <v>45</v>
      </c>
      <c r="G174" s="14">
        <v>15</v>
      </c>
      <c r="H174" s="13" t="s">
        <v>41</v>
      </c>
      <c r="I174" s="13" t="s">
        <v>40</v>
      </c>
      <c r="J174" s="14">
        <v>30</v>
      </c>
      <c r="K174" s="13" t="s">
        <v>40</v>
      </c>
      <c r="L174" s="14">
        <v>20</v>
      </c>
      <c r="M174" s="14">
        <f t="shared" si="4"/>
        <v>65</v>
      </c>
      <c r="N174" s="14">
        <v>3</v>
      </c>
      <c r="O174" s="10" t="s">
        <v>58</v>
      </c>
      <c r="P174" s="15">
        <f t="shared" si="5"/>
        <v>62</v>
      </c>
    </row>
    <row r="175" spans="1:16" x14ac:dyDescent="0.25">
      <c r="A175" s="10">
        <v>1183</v>
      </c>
      <c r="B175" s="10" t="s">
        <v>221</v>
      </c>
      <c r="C175" s="10" t="s">
        <v>49</v>
      </c>
      <c r="D175" s="11">
        <v>45886</v>
      </c>
      <c r="E175" s="12">
        <v>45886</v>
      </c>
      <c r="F175" s="13" t="s">
        <v>40</v>
      </c>
      <c r="G175" s="14">
        <v>10</v>
      </c>
      <c r="H175" s="13" t="s">
        <v>46</v>
      </c>
      <c r="I175" s="13" t="s">
        <v>45</v>
      </c>
      <c r="J175" s="14">
        <v>0</v>
      </c>
      <c r="K175" s="13" t="s">
        <v>40</v>
      </c>
      <c r="L175" s="14">
        <v>20</v>
      </c>
      <c r="M175" s="14">
        <f t="shared" si="4"/>
        <v>30</v>
      </c>
      <c r="N175" s="14">
        <v>15</v>
      </c>
      <c r="O175" s="10" t="s">
        <v>42</v>
      </c>
      <c r="P175" s="15">
        <f t="shared" si="5"/>
        <v>15</v>
      </c>
    </row>
    <row r="176" spans="1:16" x14ac:dyDescent="0.25">
      <c r="A176" s="9">
        <v>1184</v>
      </c>
      <c r="B176" s="10" t="s">
        <v>222</v>
      </c>
      <c r="C176" s="10" t="s">
        <v>44</v>
      </c>
      <c r="D176" s="11">
        <v>45887</v>
      </c>
      <c r="E176" s="12">
        <v>45887</v>
      </c>
      <c r="F176" s="13" t="s">
        <v>45</v>
      </c>
      <c r="G176" s="14">
        <v>5</v>
      </c>
      <c r="H176" s="13" t="s">
        <v>41</v>
      </c>
      <c r="I176" s="13" t="s">
        <v>45</v>
      </c>
      <c r="J176" s="14">
        <v>0</v>
      </c>
      <c r="K176" s="13" t="s">
        <v>45</v>
      </c>
      <c r="L176" s="14">
        <v>0</v>
      </c>
      <c r="M176" s="14">
        <f t="shared" si="4"/>
        <v>5</v>
      </c>
      <c r="N176" s="14">
        <v>1</v>
      </c>
      <c r="O176" s="10" t="s">
        <v>58</v>
      </c>
      <c r="P176" s="15">
        <f t="shared" si="5"/>
        <v>4</v>
      </c>
    </row>
    <row r="177" spans="1:16" x14ac:dyDescent="0.25">
      <c r="A177" s="10">
        <v>1185</v>
      </c>
      <c r="B177" s="10" t="s">
        <v>223</v>
      </c>
      <c r="C177" s="10" t="s">
        <v>44</v>
      </c>
      <c r="D177" s="11">
        <v>45888</v>
      </c>
      <c r="E177" s="12">
        <v>45888</v>
      </c>
      <c r="F177" s="13" t="s">
        <v>40</v>
      </c>
      <c r="G177" s="14">
        <v>5</v>
      </c>
      <c r="H177" s="13" t="s">
        <v>41</v>
      </c>
      <c r="I177" s="13" t="s">
        <v>45</v>
      </c>
      <c r="J177" s="14">
        <v>0</v>
      </c>
      <c r="K177" s="13" t="s">
        <v>45</v>
      </c>
      <c r="L177" s="14">
        <v>0</v>
      </c>
      <c r="M177" s="14">
        <f t="shared" si="4"/>
        <v>5</v>
      </c>
      <c r="N177" s="14">
        <v>0</v>
      </c>
      <c r="O177" s="10" t="s">
        <v>51</v>
      </c>
      <c r="P177" s="15">
        <f t="shared" si="5"/>
        <v>5</v>
      </c>
    </row>
    <row r="178" spans="1:16" x14ac:dyDescent="0.25">
      <c r="A178" s="9">
        <v>1186</v>
      </c>
      <c r="B178" s="10" t="s">
        <v>224</v>
      </c>
      <c r="C178" s="10" t="s">
        <v>39</v>
      </c>
      <c r="D178" s="11">
        <v>45889</v>
      </c>
      <c r="E178" s="12">
        <v>45889</v>
      </c>
      <c r="F178" s="13" t="s">
        <v>45</v>
      </c>
      <c r="G178" s="14">
        <v>15</v>
      </c>
      <c r="H178" s="13" t="s">
        <v>50</v>
      </c>
      <c r="I178" s="13" t="s">
        <v>40</v>
      </c>
      <c r="J178" s="14">
        <v>30</v>
      </c>
      <c r="K178" s="13" t="s">
        <v>40</v>
      </c>
      <c r="L178" s="14">
        <v>20</v>
      </c>
      <c r="M178" s="14">
        <f t="shared" si="4"/>
        <v>65</v>
      </c>
      <c r="N178" s="14">
        <v>7</v>
      </c>
      <c r="O178" s="10" t="s">
        <v>42</v>
      </c>
      <c r="P178" s="15">
        <f t="shared" si="5"/>
        <v>58</v>
      </c>
    </row>
    <row r="179" spans="1:16" x14ac:dyDescent="0.25">
      <c r="A179" s="10">
        <v>1187</v>
      </c>
      <c r="B179" s="10" t="s">
        <v>225</v>
      </c>
      <c r="C179" s="10" t="s">
        <v>49</v>
      </c>
      <c r="D179" s="11">
        <v>45890</v>
      </c>
      <c r="E179" s="12">
        <v>45890</v>
      </c>
      <c r="F179" s="13" t="s">
        <v>40</v>
      </c>
      <c r="G179" s="14">
        <v>10</v>
      </c>
      <c r="H179" s="13" t="s">
        <v>46</v>
      </c>
      <c r="I179" s="13" t="s">
        <v>45</v>
      </c>
      <c r="J179" s="14">
        <v>0</v>
      </c>
      <c r="K179" s="13" t="s">
        <v>40</v>
      </c>
      <c r="L179" s="14">
        <v>20</v>
      </c>
      <c r="M179" s="14">
        <f t="shared" si="4"/>
        <v>30</v>
      </c>
      <c r="N179" s="14">
        <v>10</v>
      </c>
      <c r="O179" s="10" t="s">
        <v>58</v>
      </c>
      <c r="P179" s="15">
        <f t="shared" si="5"/>
        <v>20</v>
      </c>
    </row>
    <row r="180" spans="1:16" x14ac:dyDescent="0.25">
      <c r="A180" s="9">
        <v>1188</v>
      </c>
      <c r="B180" s="10" t="s">
        <v>226</v>
      </c>
      <c r="C180" s="10" t="s">
        <v>44</v>
      </c>
      <c r="D180" s="11">
        <v>45891</v>
      </c>
      <c r="E180" s="12">
        <v>45891</v>
      </c>
      <c r="F180" s="13" t="s">
        <v>45</v>
      </c>
      <c r="G180" s="14">
        <v>5</v>
      </c>
      <c r="H180" s="13" t="s">
        <v>50</v>
      </c>
      <c r="I180" s="13" t="s">
        <v>45</v>
      </c>
      <c r="J180" s="14">
        <v>0</v>
      </c>
      <c r="K180" s="13" t="s">
        <v>45</v>
      </c>
      <c r="L180" s="14">
        <v>0</v>
      </c>
      <c r="M180" s="14">
        <f t="shared" si="4"/>
        <v>5</v>
      </c>
      <c r="N180" s="14">
        <v>1</v>
      </c>
      <c r="O180" s="10" t="s">
        <v>47</v>
      </c>
      <c r="P180" s="15">
        <f t="shared" si="5"/>
        <v>4</v>
      </c>
    </row>
    <row r="181" spans="1:16" x14ac:dyDescent="0.25">
      <c r="A181" s="10">
        <v>1189</v>
      </c>
      <c r="B181" s="10" t="s">
        <v>227</v>
      </c>
      <c r="C181" s="10" t="s">
        <v>39</v>
      </c>
      <c r="D181" s="11">
        <v>45892</v>
      </c>
      <c r="E181" s="12">
        <v>45892</v>
      </c>
      <c r="F181" s="13" t="s">
        <v>40</v>
      </c>
      <c r="G181" s="14">
        <v>15</v>
      </c>
      <c r="H181" s="13" t="s">
        <v>41</v>
      </c>
      <c r="I181" s="13" t="s">
        <v>40</v>
      </c>
      <c r="J181" s="14">
        <v>30</v>
      </c>
      <c r="K181" s="13" t="s">
        <v>40</v>
      </c>
      <c r="L181" s="14">
        <v>20</v>
      </c>
      <c r="M181" s="14">
        <f t="shared" si="4"/>
        <v>65</v>
      </c>
      <c r="N181" s="14">
        <v>15</v>
      </c>
      <c r="O181" s="10" t="s">
        <v>58</v>
      </c>
      <c r="P181" s="15">
        <f t="shared" si="5"/>
        <v>50</v>
      </c>
    </row>
    <row r="182" spans="1:16" x14ac:dyDescent="0.25">
      <c r="A182" s="9">
        <v>1190</v>
      </c>
      <c r="B182" s="10" t="s">
        <v>228</v>
      </c>
      <c r="C182" s="10" t="s">
        <v>49</v>
      </c>
      <c r="D182" s="11">
        <v>45893</v>
      </c>
      <c r="E182" s="12">
        <v>45893</v>
      </c>
      <c r="F182" s="13" t="s">
        <v>45</v>
      </c>
      <c r="G182" s="14">
        <v>10</v>
      </c>
      <c r="H182" s="13" t="s">
        <v>41</v>
      </c>
      <c r="I182" s="13" t="s">
        <v>45</v>
      </c>
      <c r="J182" s="14">
        <v>0</v>
      </c>
      <c r="K182" s="13" t="s">
        <v>40</v>
      </c>
      <c r="L182" s="14">
        <v>20</v>
      </c>
      <c r="M182" s="14">
        <f t="shared" si="4"/>
        <v>30</v>
      </c>
      <c r="N182" s="14">
        <v>5</v>
      </c>
      <c r="O182" s="10" t="s">
        <v>58</v>
      </c>
      <c r="P182" s="15">
        <f t="shared" si="5"/>
        <v>25</v>
      </c>
    </row>
    <row r="183" spans="1:16" x14ac:dyDescent="0.25">
      <c r="A183" s="10">
        <v>1191</v>
      </c>
      <c r="B183" s="10" t="s">
        <v>229</v>
      </c>
      <c r="C183" s="10" t="s">
        <v>44</v>
      </c>
      <c r="D183" s="11">
        <v>45894</v>
      </c>
      <c r="E183" s="12">
        <v>45894</v>
      </c>
      <c r="F183" s="13" t="s">
        <v>40</v>
      </c>
      <c r="G183" s="14">
        <v>5</v>
      </c>
      <c r="H183" s="13" t="s">
        <v>46</v>
      </c>
      <c r="I183" s="13" t="s">
        <v>45</v>
      </c>
      <c r="J183" s="14">
        <v>0</v>
      </c>
      <c r="K183" s="13" t="s">
        <v>45</v>
      </c>
      <c r="L183" s="14">
        <v>0</v>
      </c>
      <c r="M183" s="14">
        <f t="shared" si="4"/>
        <v>5</v>
      </c>
      <c r="N183" s="14">
        <v>0</v>
      </c>
      <c r="O183" s="10" t="s">
        <v>42</v>
      </c>
      <c r="P183" s="15">
        <f t="shared" si="5"/>
        <v>5</v>
      </c>
    </row>
    <row r="184" spans="1:16" x14ac:dyDescent="0.25">
      <c r="A184" s="9">
        <v>1192</v>
      </c>
      <c r="B184" s="10" t="s">
        <v>230</v>
      </c>
      <c r="C184" s="10" t="s">
        <v>39</v>
      </c>
      <c r="D184" s="11">
        <v>45895</v>
      </c>
      <c r="E184" s="12">
        <v>45895</v>
      </c>
      <c r="F184" s="13" t="s">
        <v>45</v>
      </c>
      <c r="G184" s="14">
        <v>15</v>
      </c>
      <c r="H184" s="13" t="s">
        <v>50</v>
      </c>
      <c r="I184" s="13" t="s">
        <v>40</v>
      </c>
      <c r="J184" s="14">
        <v>30</v>
      </c>
      <c r="K184" s="13" t="s">
        <v>40</v>
      </c>
      <c r="L184" s="14">
        <v>20</v>
      </c>
      <c r="M184" s="14">
        <f t="shared" si="4"/>
        <v>65</v>
      </c>
      <c r="N184" s="14">
        <v>20</v>
      </c>
      <c r="O184" s="10" t="s">
        <v>58</v>
      </c>
      <c r="P184" s="15">
        <f t="shared" si="5"/>
        <v>45</v>
      </c>
    </row>
    <row r="185" spans="1:16" x14ac:dyDescent="0.25">
      <c r="A185" s="10">
        <v>1193</v>
      </c>
      <c r="B185" s="10" t="s">
        <v>231</v>
      </c>
      <c r="C185" s="10" t="s">
        <v>49</v>
      </c>
      <c r="D185" s="11">
        <v>45896</v>
      </c>
      <c r="E185" s="12">
        <v>45896</v>
      </c>
      <c r="F185" s="13" t="s">
        <v>40</v>
      </c>
      <c r="G185" s="14">
        <v>10</v>
      </c>
      <c r="H185" s="13" t="s">
        <v>50</v>
      </c>
      <c r="I185" s="13" t="s">
        <v>45</v>
      </c>
      <c r="J185" s="14">
        <v>0</v>
      </c>
      <c r="K185" s="13" t="s">
        <v>40</v>
      </c>
      <c r="L185" s="14">
        <v>20</v>
      </c>
      <c r="M185" s="14">
        <f t="shared" si="4"/>
        <v>30</v>
      </c>
      <c r="N185" s="14">
        <v>12</v>
      </c>
      <c r="O185" s="10" t="s">
        <v>42</v>
      </c>
      <c r="P185" s="15">
        <f t="shared" si="5"/>
        <v>18</v>
      </c>
    </row>
    <row r="186" spans="1:16" x14ac:dyDescent="0.25">
      <c r="A186" s="9">
        <v>1194</v>
      </c>
      <c r="B186" s="10" t="s">
        <v>232</v>
      </c>
      <c r="C186" s="10" t="s">
        <v>44</v>
      </c>
      <c r="D186" s="11">
        <v>45897</v>
      </c>
      <c r="E186" s="12">
        <v>45897</v>
      </c>
      <c r="F186" s="13" t="s">
        <v>45</v>
      </c>
      <c r="G186" s="14">
        <v>5</v>
      </c>
      <c r="H186" s="13" t="s">
        <v>41</v>
      </c>
      <c r="I186" s="13" t="s">
        <v>45</v>
      </c>
      <c r="J186" s="14">
        <v>0</v>
      </c>
      <c r="K186" s="13" t="s">
        <v>45</v>
      </c>
      <c r="L186" s="14">
        <v>0</v>
      </c>
      <c r="M186" s="14">
        <f t="shared" si="4"/>
        <v>5</v>
      </c>
      <c r="N186" s="14">
        <v>2</v>
      </c>
      <c r="O186" s="10" t="s">
        <v>58</v>
      </c>
      <c r="P186" s="15">
        <f t="shared" si="5"/>
        <v>3</v>
      </c>
    </row>
    <row r="187" spans="1:16" x14ac:dyDescent="0.25">
      <c r="A187" s="10">
        <v>1195</v>
      </c>
      <c r="B187" s="10" t="s">
        <v>233</v>
      </c>
      <c r="C187" s="10" t="s">
        <v>39</v>
      </c>
      <c r="D187" s="11">
        <v>45898</v>
      </c>
      <c r="E187" s="12">
        <v>45898</v>
      </c>
      <c r="F187" s="13" t="s">
        <v>40</v>
      </c>
      <c r="G187" s="14">
        <v>15</v>
      </c>
      <c r="H187" s="13" t="s">
        <v>46</v>
      </c>
      <c r="I187" s="13" t="s">
        <v>40</v>
      </c>
      <c r="J187" s="14">
        <v>30</v>
      </c>
      <c r="K187" s="13" t="s">
        <v>40</v>
      </c>
      <c r="L187" s="14">
        <v>20</v>
      </c>
      <c r="M187" s="14">
        <f t="shared" si="4"/>
        <v>65</v>
      </c>
      <c r="N187" s="14">
        <v>5</v>
      </c>
      <c r="O187" s="10" t="s">
        <v>42</v>
      </c>
      <c r="P187" s="15">
        <f t="shared" si="5"/>
        <v>60</v>
      </c>
    </row>
    <row r="188" spans="1:16" x14ac:dyDescent="0.25">
      <c r="A188" s="9">
        <v>1196</v>
      </c>
      <c r="B188" s="10" t="s">
        <v>234</v>
      </c>
      <c r="C188" s="10" t="s">
        <v>49</v>
      </c>
      <c r="D188" s="11">
        <v>45899</v>
      </c>
      <c r="E188" s="12">
        <v>45899</v>
      </c>
      <c r="F188" s="13" t="s">
        <v>45</v>
      </c>
      <c r="G188" s="14">
        <v>10</v>
      </c>
      <c r="H188" s="13" t="s">
        <v>41</v>
      </c>
      <c r="I188" s="13" t="s">
        <v>45</v>
      </c>
      <c r="J188" s="14">
        <v>0</v>
      </c>
      <c r="K188" s="13" t="s">
        <v>40</v>
      </c>
      <c r="L188" s="14">
        <v>20</v>
      </c>
      <c r="M188" s="14">
        <f t="shared" si="4"/>
        <v>30</v>
      </c>
      <c r="N188" s="14">
        <v>10</v>
      </c>
      <c r="O188" s="10" t="s">
        <v>47</v>
      </c>
      <c r="P188" s="15">
        <f t="shared" si="5"/>
        <v>20</v>
      </c>
    </row>
    <row r="189" spans="1:16" x14ac:dyDescent="0.25">
      <c r="A189" s="10">
        <v>1197</v>
      </c>
      <c r="B189" s="10" t="s">
        <v>235</v>
      </c>
      <c r="C189" s="10" t="s">
        <v>44</v>
      </c>
      <c r="D189" s="11">
        <v>45900</v>
      </c>
      <c r="E189" s="12">
        <v>45900</v>
      </c>
      <c r="F189" s="13" t="s">
        <v>40</v>
      </c>
      <c r="G189" s="14">
        <v>5</v>
      </c>
      <c r="H189" s="13" t="s">
        <v>50</v>
      </c>
      <c r="I189" s="13" t="s">
        <v>45</v>
      </c>
      <c r="J189" s="14">
        <v>0</v>
      </c>
      <c r="K189" s="13" t="s">
        <v>45</v>
      </c>
      <c r="L189" s="14">
        <v>0</v>
      </c>
      <c r="M189" s="14">
        <f t="shared" si="4"/>
        <v>5</v>
      </c>
      <c r="N189" s="14">
        <v>0</v>
      </c>
      <c r="O189" s="10" t="s">
        <v>47</v>
      </c>
      <c r="P189" s="15">
        <f t="shared" si="5"/>
        <v>5</v>
      </c>
    </row>
    <row r="190" spans="1:16" x14ac:dyDescent="0.25">
      <c r="A190" s="9">
        <v>1198</v>
      </c>
      <c r="B190" s="10" t="s">
        <v>236</v>
      </c>
      <c r="C190" s="10" t="s">
        <v>39</v>
      </c>
      <c r="D190" s="11">
        <v>45901</v>
      </c>
      <c r="E190" s="12">
        <v>45901</v>
      </c>
      <c r="F190" s="13" t="s">
        <v>45</v>
      </c>
      <c r="G190" s="14">
        <v>15</v>
      </c>
      <c r="H190" s="13" t="s">
        <v>41</v>
      </c>
      <c r="I190" s="13" t="s">
        <v>40</v>
      </c>
      <c r="J190" s="14">
        <v>30</v>
      </c>
      <c r="K190" s="13" t="s">
        <v>40</v>
      </c>
      <c r="L190" s="14">
        <v>20</v>
      </c>
      <c r="M190" s="14">
        <f t="shared" si="4"/>
        <v>65</v>
      </c>
      <c r="N190" s="14">
        <v>3</v>
      </c>
      <c r="O190" s="10" t="s">
        <v>51</v>
      </c>
      <c r="P190" s="15">
        <f t="shared" si="5"/>
        <v>62</v>
      </c>
    </row>
    <row r="191" spans="1:16" x14ac:dyDescent="0.25">
      <c r="A191" s="10">
        <v>1199</v>
      </c>
      <c r="B191" s="10" t="s">
        <v>237</v>
      </c>
      <c r="C191" s="10" t="s">
        <v>49</v>
      </c>
      <c r="D191" s="11">
        <v>45902</v>
      </c>
      <c r="E191" s="12">
        <v>45902</v>
      </c>
      <c r="F191" s="13" t="s">
        <v>40</v>
      </c>
      <c r="G191" s="14">
        <v>10</v>
      </c>
      <c r="H191" s="13" t="s">
        <v>46</v>
      </c>
      <c r="I191" s="13" t="s">
        <v>45</v>
      </c>
      <c r="J191" s="14">
        <v>0</v>
      </c>
      <c r="K191" s="13" t="s">
        <v>40</v>
      </c>
      <c r="L191" s="14">
        <v>20</v>
      </c>
      <c r="M191" s="14">
        <f t="shared" si="4"/>
        <v>30</v>
      </c>
      <c r="N191" s="14">
        <v>15</v>
      </c>
      <c r="O191" s="10" t="s">
        <v>47</v>
      </c>
      <c r="P191" s="15">
        <f t="shared" si="5"/>
        <v>15</v>
      </c>
    </row>
    <row r="192" spans="1:16" x14ac:dyDescent="0.25">
      <c r="A192" s="9">
        <v>1200</v>
      </c>
      <c r="B192" s="10" t="s">
        <v>66</v>
      </c>
      <c r="C192" s="10" t="s">
        <v>44</v>
      </c>
      <c r="D192" s="11">
        <v>45903</v>
      </c>
      <c r="E192" s="12">
        <v>45903</v>
      </c>
      <c r="F192" s="13" t="s">
        <v>45</v>
      </c>
      <c r="G192" s="14">
        <v>5</v>
      </c>
      <c r="H192" s="13" t="s">
        <v>41</v>
      </c>
      <c r="I192" s="13" t="s">
        <v>45</v>
      </c>
      <c r="J192" s="14">
        <v>0</v>
      </c>
      <c r="K192" s="13" t="s">
        <v>45</v>
      </c>
      <c r="L192" s="14">
        <v>0</v>
      </c>
      <c r="M192" s="14">
        <f t="shared" si="4"/>
        <v>5</v>
      </c>
      <c r="N192" s="14">
        <v>1</v>
      </c>
      <c r="O192" s="10" t="s">
        <v>47</v>
      </c>
      <c r="P192" s="15">
        <f t="shared" si="5"/>
        <v>4</v>
      </c>
    </row>
    <row r="193" spans="1:16" x14ac:dyDescent="0.25">
      <c r="A193" s="10">
        <v>1201</v>
      </c>
      <c r="B193" s="10" t="s">
        <v>238</v>
      </c>
      <c r="C193" s="10" t="s">
        <v>39</v>
      </c>
      <c r="D193" s="11">
        <v>45904</v>
      </c>
      <c r="E193" s="12">
        <v>45904</v>
      </c>
      <c r="F193" s="13" t="s">
        <v>40</v>
      </c>
      <c r="G193" s="14">
        <v>15</v>
      </c>
      <c r="H193" s="13" t="s">
        <v>50</v>
      </c>
      <c r="I193" s="13" t="s">
        <v>40</v>
      </c>
      <c r="J193" s="14">
        <v>30</v>
      </c>
      <c r="K193" s="13" t="s">
        <v>40</v>
      </c>
      <c r="L193" s="14">
        <v>20</v>
      </c>
      <c r="M193" s="14">
        <f t="shared" si="4"/>
        <v>65</v>
      </c>
      <c r="N193" s="14">
        <v>7</v>
      </c>
      <c r="O193" s="10" t="s">
        <v>58</v>
      </c>
      <c r="P193" s="15">
        <f t="shared" si="5"/>
        <v>58</v>
      </c>
    </row>
    <row r="194" spans="1:16" x14ac:dyDescent="0.25">
      <c r="A194" s="9">
        <v>1202</v>
      </c>
      <c r="B194" s="10" t="s">
        <v>239</v>
      </c>
      <c r="C194" s="10" t="s">
        <v>49</v>
      </c>
      <c r="D194" s="11">
        <v>45905</v>
      </c>
      <c r="E194" s="12">
        <v>45905</v>
      </c>
      <c r="F194" s="13" t="s">
        <v>45</v>
      </c>
      <c r="G194" s="14">
        <v>10</v>
      </c>
      <c r="H194" s="13" t="s">
        <v>41</v>
      </c>
      <c r="I194" s="13" t="s">
        <v>45</v>
      </c>
      <c r="J194" s="14">
        <v>0</v>
      </c>
      <c r="K194" s="13" t="s">
        <v>40</v>
      </c>
      <c r="L194" s="14">
        <v>20</v>
      </c>
      <c r="M194" s="14">
        <f t="shared" si="4"/>
        <v>30</v>
      </c>
      <c r="N194" s="14">
        <v>10</v>
      </c>
      <c r="O194" s="10" t="s">
        <v>58</v>
      </c>
      <c r="P194" s="15">
        <f t="shared" si="5"/>
        <v>20</v>
      </c>
    </row>
    <row r="195" spans="1:16" x14ac:dyDescent="0.25">
      <c r="A195" s="10">
        <v>1203</v>
      </c>
      <c r="B195" s="10" t="s">
        <v>65</v>
      </c>
      <c r="C195" s="10" t="s">
        <v>44</v>
      </c>
      <c r="D195" s="11">
        <v>45906</v>
      </c>
      <c r="E195" s="12">
        <v>45906</v>
      </c>
      <c r="F195" s="13" t="s">
        <v>40</v>
      </c>
      <c r="G195" s="14">
        <v>5</v>
      </c>
      <c r="H195" s="13" t="s">
        <v>46</v>
      </c>
      <c r="I195" s="13" t="s">
        <v>45</v>
      </c>
      <c r="J195" s="14">
        <v>0</v>
      </c>
      <c r="K195" s="13" t="s">
        <v>45</v>
      </c>
      <c r="L195" s="14">
        <v>0</v>
      </c>
      <c r="M195" s="14">
        <f t="shared" ref="M195:M258" si="6">G195+J195+L195</f>
        <v>5</v>
      </c>
      <c r="N195" s="14">
        <v>0</v>
      </c>
      <c r="O195" s="10" t="s">
        <v>51</v>
      </c>
      <c r="P195" s="15">
        <f t="shared" ref="P195:P258" si="7">G195+J195+L195-N195</f>
        <v>5</v>
      </c>
    </row>
    <row r="196" spans="1:16" x14ac:dyDescent="0.25">
      <c r="A196" s="9">
        <v>1204</v>
      </c>
      <c r="B196" s="10" t="s">
        <v>240</v>
      </c>
      <c r="C196" s="10" t="s">
        <v>39</v>
      </c>
      <c r="D196" s="11">
        <v>45907</v>
      </c>
      <c r="E196" s="12">
        <v>45907</v>
      </c>
      <c r="F196" s="13" t="s">
        <v>45</v>
      </c>
      <c r="G196" s="14">
        <v>15</v>
      </c>
      <c r="H196" s="13" t="s">
        <v>41</v>
      </c>
      <c r="I196" s="13" t="s">
        <v>40</v>
      </c>
      <c r="J196" s="14">
        <v>30</v>
      </c>
      <c r="K196" s="13" t="s">
        <v>40</v>
      </c>
      <c r="L196" s="14">
        <v>20</v>
      </c>
      <c r="M196" s="14">
        <f t="shared" si="6"/>
        <v>65</v>
      </c>
      <c r="N196" s="14">
        <v>20</v>
      </c>
      <c r="O196" s="10" t="s">
        <v>58</v>
      </c>
      <c r="P196" s="15">
        <f t="shared" si="7"/>
        <v>45</v>
      </c>
    </row>
    <row r="197" spans="1:16" x14ac:dyDescent="0.25">
      <c r="A197" s="10">
        <v>1205</v>
      </c>
      <c r="B197" s="10" t="s">
        <v>218</v>
      </c>
      <c r="C197" s="10" t="s">
        <v>49</v>
      </c>
      <c r="D197" s="11">
        <v>45908</v>
      </c>
      <c r="E197" s="12">
        <v>45908</v>
      </c>
      <c r="F197" s="13" t="s">
        <v>40</v>
      </c>
      <c r="G197" s="14">
        <v>10</v>
      </c>
      <c r="H197" s="13" t="s">
        <v>50</v>
      </c>
      <c r="I197" s="13" t="s">
        <v>45</v>
      </c>
      <c r="J197" s="14">
        <v>0</v>
      </c>
      <c r="K197" s="13" t="s">
        <v>40</v>
      </c>
      <c r="L197" s="14">
        <v>20</v>
      </c>
      <c r="M197" s="14">
        <f t="shared" si="6"/>
        <v>30</v>
      </c>
      <c r="N197" s="14">
        <v>15</v>
      </c>
      <c r="O197" s="10" t="s">
        <v>58</v>
      </c>
      <c r="P197" s="15">
        <f t="shared" si="7"/>
        <v>15</v>
      </c>
    </row>
    <row r="198" spans="1:16" x14ac:dyDescent="0.25">
      <c r="A198" s="9">
        <v>1206</v>
      </c>
      <c r="B198" s="10" t="s">
        <v>241</v>
      </c>
      <c r="C198" s="10" t="s">
        <v>44</v>
      </c>
      <c r="D198" s="11">
        <v>45909</v>
      </c>
      <c r="E198" s="12">
        <v>45909</v>
      </c>
      <c r="F198" s="13" t="s">
        <v>45</v>
      </c>
      <c r="G198" s="14">
        <v>5</v>
      </c>
      <c r="H198" s="13" t="s">
        <v>41</v>
      </c>
      <c r="I198" s="13" t="s">
        <v>45</v>
      </c>
      <c r="J198" s="14">
        <v>0</v>
      </c>
      <c r="K198" s="13" t="s">
        <v>45</v>
      </c>
      <c r="L198" s="14">
        <v>0</v>
      </c>
      <c r="M198" s="14">
        <f t="shared" si="6"/>
        <v>5</v>
      </c>
      <c r="N198" s="14">
        <v>1</v>
      </c>
      <c r="O198" s="10" t="s">
        <v>51</v>
      </c>
      <c r="P198" s="15">
        <f t="shared" si="7"/>
        <v>4</v>
      </c>
    </row>
    <row r="199" spans="1:16" x14ac:dyDescent="0.25">
      <c r="A199" s="10">
        <v>1207</v>
      </c>
      <c r="B199" s="10" t="s">
        <v>242</v>
      </c>
      <c r="C199" s="10" t="s">
        <v>39</v>
      </c>
      <c r="D199" s="11">
        <v>45910</v>
      </c>
      <c r="E199" s="12">
        <v>45910</v>
      </c>
      <c r="F199" s="13" t="s">
        <v>40</v>
      </c>
      <c r="G199" s="14">
        <v>15</v>
      </c>
      <c r="H199" s="13" t="s">
        <v>46</v>
      </c>
      <c r="I199" s="13" t="s">
        <v>40</v>
      </c>
      <c r="J199" s="14">
        <v>30</v>
      </c>
      <c r="K199" s="13" t="s">
        <v>40</v>
      </c>
      <c r="L199" s="14">
        <v>20</v>
      </c>
      <c r="M199" s="14">
        <f t="shared" si="6"/>
        <v>65</v>
      </c>
      <c r="N199" s="14">
        <v>3</v>
      </c>
      <c r="O199" s="10" t="s">
        <v>42</v>
      </c>
      <c r="P199" s="15">
        <f t="shared" si="7"/>
        <v>62</v>
      </c>
    </row>
    <row r="200" spans="1:16" x14ac:dyDescent="0.25">
      <c r="A200" s="9">
        <v>1208</v>
      </c>
      <c r="B200" s="10" t="s">
        <v>243</v>
      </c>
      <c r="C200" s="10" t="s">
        <v>49</v>
      </c>
      <c r="D200" s="11">
        <v>45911</v>
      </c>
      <c r="E200" s="12">
        <v>45911</v>
      </c>
      <c r="F200" s="13" t="s">
        <v>45</v>
      </c>
      <c r="G200" s="14">
        <v>10</v>
      </c>
      <c r="H200" s="13" t="s">
        <v>41</v>
      </c>
      <c r="I200" s="13" t="s">
        <v>45</v>
      </c>
      <c r="J200" s="14">
        <v>0</v>
      </c>
      <c r="K200" s="13" t="s">
        <v>40</v>
      </c>
      <c r="L200" s="14">
        <v>20</v>
      </c>
      <c r="M200" s="14">
        <f t="shared" si="6"/>
        <v>30</v>
      </c>
      <c r="N200" s="14">
        <v>10</v>
      </c>
      <c r="O200" s="10" t="s">
        <v>51</v>
      </c>
      <c r="P200" s="15">
        <f t="shared" si="7"/>
        <v>20</v>
      </c>
    </row>
    <row r="201" spans="1:16" x14ac:dyDescent="0.25">
      <c r="A201" s="10">
        <v>1209</v>
      </c>
      <c r="B201" s="10" t="s">
        <v>244</v>
      </c>
      <c r="C201" s="10" t="s">
        <v>44</v>
      </c>
      <c r="D201" s="11">
        <v>45912</v>
      </c>
      <c r="E201" s="12">
        <v>45912</v>
      </c>
      <c r="F201" s="13" t="s">
        <v>40</v>
      </c>
      <c r="G201" s="14">
        <v>5</v>
      </c>
      <c r="H201" s="13" t="s">
        <v>50</v>
      </c>
      <c r="I201" s="13" t="s">
        <v>45</v>
      </c>
      <c r="J201" s="14">
        <v>0</v>
      </c>
      <c r="K201" s="13" t="s">
        <v>45</v>
      </c>
      <c r="L201" s="14">
        <v>0</v>
      </c>
      <c r="M201" s="14">
        <f t="shared" si="6"/>
        <v>5</v>
      </c>
      <c r="N201" s="14">
        <v>0</v>
      </c>
      <c r="O201" s="10" t="s">
        <v>51</v>
      </c>
      <c r="P201" s="15">
        <f t="shared" si="7"/>
        <v>5</v>
      </c>
    </row>
    <row r="202" spans="1:16" x14ac:dyDescent="0.25">
      <c r="A202" s="9">
        <v>1210</v>
      </c>
      <c r="B202" s="10" t="s">
        <v>245</v>
      </c>
      <c r="C202" s="10" t="s">
        <v>39</v>
      </c>
      <c r="D202" s="11">
        <v>45913</v>
      </c>
      <c r="E202" s="12">
        <v>45913</v>
      </c>
      <c r="F202" s="13" t="s">
        <v>45</v>
      </c>
      <c r="G202" s="14">
        <v>15</v>
      </c>
      <c r="H202" s="13" t="s">
        <v>41</v>
      </c>
      <c r="I202" s="13" t="s">
        <v>40</v>
      </c>
      <c r="J202" s="14">
        <v>30</v>
      </c>
      <c r="K202" s="13" t="s">
        <v>40</v>
      </c>
      <c r="L202" s="14">
        <v>20</v>
      </c>
      <c r="M202" s="14">
        <f t="shared" si="6"/>
        <v>65</v>
      </c>
      <c r="N202" s="14">
        <v>15</v>
      </c>
      <c r="O202" s="10" t="s">
        <v>42</v>
      </c>
      <c r="P202" s="15">
        <f t="shared" si="7"/>
        <v>50</v>
      </c>
    </row>
    <row r="203" spans="1:16" x14ac:dyDescent="0.25">
      <c r="A203" s="10">
        <v>1211</v>
      </c>
      <c r="B203" s="10" t="s">
        <v>246</v>
      </c>
      <c r="C203" s="10" t="s">
        <v>49</v>
      </c>
      <c r="D203" s="11">
        <v>45914</v>
      </c>
      <c r="E203" s="12">
        <v>45914</v>
      </c>
      <c r="F203" s="13" t="s">
        <v>40</v>
      </c>
      <c r="G203" s="14">
        <v>10</v>
      </c>
      <c r="H203" s="13" t="s">
        <v>46</v>
      </c>
      <c r="I203" s="13" t="s">
        <v>45</v>
      </c>
      <c r="J203" s="14">
        <v>0</v>
      </c>
      <c r="K203" s="13" t="s">
        <v>40</v>
      </c>
      <c r="L203" s="14">
        <v>20</v>
      </c>
      <c r="M203" s="14">
        <f t="shared" si="6"/>
        <v>30</v>
      </c>
      <c r="N203" s="14">
        <v>15</v>
      </c>
      <c r="O203" s="10" t="s">
        <v>58</v>
      </c>
      <c r="P203" s="15">
        <f t="shared" si="7"/>
        <v>15</v>
      </c>
    </row>
    <row r="204" spans="1:16" x14ac:dyDescent="0.25">
      <c r="A204" s="9">
        <v>1212</v>
      </c>
      <c r="B204" s="10" t="s">
        <v>247</v>
      </c>
      <c r="C204" s="10" t="s">
        <v>44</v>
      </c>
      <c r="D204" s="11">
        <v>45915</v>
      </c>
      <c r="E204" s="12">
        <v>45915</v>
      </c>
      <c r="F204" s="13" t="s">
        <v>45</v>
      </c>
      <c r="G204" s="14">
        <v>5</v>
      </c>
      <c r="H204" s="13" t="s">
        <v>41</v>
      </c>
      <c r="I204" s="13" t="s">
        <v>45</v>
      </c>
      <c r="J204" s="14">
        <v>0</v>
      </c>
      <c r="K204" s="13" t="s">
        <v>45</v>
      </c>
      <c r="L204" s="14">
        <v>0</v>
      </c>
      <c r="M204" s="14">
        <f t="shared" si="6"/>
        <v>5</v>
      </c>
      <c r="N204" s="14">
        <v>1</v>
      </c>
      <c r="O204" s="10" t="s">
        <v>58</v>
      </c>
      <c r="P204" s="15">
        <f t="shared" si="7"/>
        <v>4</v>
      </c>
    </row>
    <row r="205" spans="1:16" x14ac:dyDescent="0.25">
      <c r="A205" s="10">
        <v>1213</v>
      </c>
      <c r="B205" s="10" t="s">
        <v>248</v>
      </c>
      <c r="C205" s="10" t="s">
        <v>39</v>
      </c>
      <c r="D205" s="11">
        <v>45916</v>
      </c>
      <c r="E205" s="12">
        <v>45916</v>
      </c>
      <c r="F205" s="13" t="s">
        <v>40</v>
      </c>
      <c r="G205" s="14">
        <v>15</v>
      </c>
      <c r="H205" s="13" t="s">
        <v>50</v>
      </c>
      <c r="I205" s="13" t="s">
        <v>40</v>
      </c>
      <c r="J205" s="14">
        <v>30</v>
      </c>
      <c r="K205" s="13" t="s">
        <v>40</v>
      </c>
      <c r="L205" s="14">
        <v>20</v>
      </c>
      <c r="M205" s="14">
        <f t="shared" si="6"/>
        <v>65</v>
      </c>
      <c r="N205" s="14">
        <v>7</v>
      </c>
      <c r="O205" s="10" t="s">
        <v>47</v>
      </c>
      <c r="P205" s="15">
        <f t="shared" si="7"/>
        <v>58</v>
      </c>
    </row>
    <row r="206" spans="1:16" x14ac:dyDescent="0.25">
      <c r="A206" s="9">
        <v>1214</v>
      </c>
      <c r="B206" s="10" t="s">
        <v>249</v>
      </c>
      <c r="C206" s="10" t="s">
        <v>49</v>
      </c>
      <c r="D206" s="11">
        <v>45917</v>
      </c>
      <c r="E206" s="12">
        <v>45917</v>
      </c>
      <c r="F206" s="13" t="s">
        <v>45</v>
      </c>
      <c r="G206" s="14">
        <v>10</v>
      </c>
      <c r="H206" s="13" t="s">
        <v>41</v>
      </c>
      <c r="I206" s="13" t="s">
        <v>45</v>
      </c>
      <c r="J206" s="14">
        <v>0</v>
      </c>
      <c r="K206" s="13" t="s">
        <v>40</v>
      </c>
      <c r="L206" s="14">
        <v>20</v>
      </c>
      <c r="M206" s="14">
        <f t="shared" si="6"/>
        <v>30</v>
      </c>
      <c r="N206" s="14">
        <v>10</v>
      </c>
      <c r="O206" s="10" t="s">
        <v>42</v>
      </c>
      <c r="P206" s="15">
        <f t="shared" si="7"/>
        <v>20</v>
      </c>
    </row>
    <row r="207" spans="1:16" x14ac:dyDescent="0.25">
      <c r="A207" s="10">
        <v>1215</v>
      </c>
      <c r="B207" s="10" t="s">
        <v>250</v>
      </c>
      <c r="C207" s="10" t="s">
        <v>44</v>
      </c>
      <c r="D207" s="11">
        <v>45918</v>
      </c>
      <c r="E207" s="12">
        <v>45918</v>
      </c>
      <c r="F207" s="13" t="s">
        <v>40</v>
      </c>
      <c r="G207" s="14">
        <v>5</v>
      </c>
      <c r="H207" s="13" t="s">
        <v>41</v>
      </c>
      <c r="I207" s="13" t="s">
        <v>45</v>
      </c>
      <c r="J207" s="14">
        <v>0</v>
      </c>
      <c r="K207" s="13" t="s">
        <v>45</v>
      </c>
      <c r="L207" s="14">
        <v>0</v>
      </c>
      <c r="M207" s="14">
        <f t="shared" si="6"/>
        <v>5</v>
      </c>
      <c r="N207" s="14">
        <v>0</v>
      </c>
      <c r="O207" s="10" t="s">
        <v>47</v>
      </c>
      <c r="P207" s="15">
        <f t="shared" si="7"/>
        <v>5</v>
      </c>
    </row>
    <row r="208" spans="1:16" x14ac:dyDescent="0.25">
      <c r="A208" s="9">
        <v>1216</v>
      </c>
      <c r="B208" s="10" t="s">
        <v>251</v>
      </c>
      <c r="C208" s="10" t="s">
        <v>39</v>
      </c>
      <c r="D208" s="11">
        <v>45919</v>
      </c>
      <c r="E208" s="12">
        <v>45919</v>
      </c>
      <c r="F208" s="13" t="s">
        <v>45</v>
      </c>
      <c r="G208" s="14">
        <v>15</v>
      </c>
      <c r="H208" s="13" t="s">
        <v>50</v>
      </c>
      <c r="I208" s="13" t="s">
        <v>40</v>
      </c>
      <c r="J208" s="14">
        <v>30</v>
      </c>
      <c r="K208" s="13" t="s">
        <v>40</v>
      </c>
      <c r="L208" s="14">
        <v>20</v>
      </c>
      <c r="M208" s="14">
        <f t="shared" si="6"/>
        <v>65</v>
      </c>
      <c r="N208" s="14">
        <v>7</v>
      </c>
      <c r="O208" s="10" t="s">
        <v>47</v>
      </c>
      <c r="P208" s="15">
        <f t="shared" si="7"/>
        <v>58</v>
      </c>
    </row>
    <row r="209" spans="1:16" x14ac:dyDescent="0.25">
      <c r="A209" s="10">
        <v>1217</v>
      </c>
      <c r="B209" s="10" t="s">
        <v>252</v>
      </c>
      <c r="C209" s="10" t="s">
        <v>49</v>
      </c>
      <c r="D209" s="11">
        <v>45920</v>
      </c>
      <c r="E209" s="12">
        <v>45920</v>
      </c>
      <c r="F209" s="13" t="s">
        <v>40</v>
      </c>
      <c r="G209" s="14">
        <v>10</v>
      </c>
      <c r="H209" s="13" t="s">
        <v>46</v>
      </c>
      <c r="I209" s="13" t="s">
        <v>45</v>
      </c>
      <c r="J209" s="14">
        <v>0</v>
      </c>
      <c r="K209" s="13" t="s">
        <v>40</v>
      </c>
      <c r="L209" s="14">
        <v>20</v>
      </c>
      <c r="M209" s="14">
        <f t="shared" si="6"/>
        <v>30</v>
      </c>
      <c r="N209" s="14">
        <v>10</v>
      </c>
      <c r="O209" s="10" t="s">
        <v>51</v>
      </c>
      <c r="P209" s="15">
        <f t="shared" si="7"/>
        <v>20</v>
      </c>
    </row>
    <row r="210" spans="1:16" x14ac:dyDescent="0.25">
      <c r="A210" s="9">
        <v>1218</v>
      </c>
      <c r="B210" s="10" t="s">
        <v>253</v>
      </c>
      <c r="C210" s="10" t="s">
        <v>44</v>
      </c>
      <c r="D210" s="11">
        <v>45921</v>
      </c>
      <c r="E210" s="12">
        <v>45921</v>
      </c>
      <c r="F210" s="13" t="s">
        <v>45</v>
      </c>
      <c r="G210" s="14">
        <v>5</v>
      </c>
      <c r="H210" s="13" t="s">
        <v>50</v>
      </c>
      <c r="I210" s="13" t="s">
        <v>45</v>
      </c>
      <c r="J210" s="14">
        <v>0</v>
      </c>
      <c r="K210" s="13" t="s">
        <v>45</v>
      </c>
      <c r="L210" s="14">
        <v>0</v>
      </c>
      <c r="M210" s="14">
        <f t="shared" si="6"/>
        <v>5</v>
      </c>
      <c r="N210" s="14">
        <v>1</v>
      </c>
      <c r="O210" s="10" t="s">
        <v>58</v>
      </c>
      <c r="P210" s="15">
        <f t="shared" si="7"/>
        <v>4</v>
      </c>
    </row>
    <row r="211" spans="1:16" x14ac:dyDescent="0.25">
      <c r="A211" s="10">
        <v>1219</v>
      </c>
      <c r="B211" s="10" t="s">
        <v>254</v>
      </c>
      <c r="C211" s="10" t="s">
        <v>39</v>
      </c>
      <c r="D211" s="11">
        <v>45922</v>
      </c>
      <c r="E211" s="12">
        <v>45922</v>
      </c>
      <c r="F211" s="13" t="s">
        <v>40</v>
      </c>
      <c r="G211" s="14">
        <v>15</v>
      </c>
      <c r="H211" s="13" t="s">
        <v>41</v>
      </c>
      <c r="I211" s="13" t="s">
        <v>40</v>
      </c>
      <c r="J211" s="14">
        <v>30</v>
      </c>
      <c r="K211" s="13" t="s">
        <v>40</v>
      </c>
      <c r="L211" s="14">
        <v>20</v>
      </c>
      <c r="M211" s="14">
        <f t="shared" si="6"/>
        <v>65</v>
      </c>
      <c r="N211" s="14">
        <v>15</v>
      </c>
      <c r="O211" s="10" t="s">
        <v>58</v>
      </c>
      <c r="P211" s="15">
        <f t="shared" si="7"/>
        <v>50</v>
      </c>
    </row>
    <row r="212" spans="1:16" x14ac:dyDescent="0.25">
      <c r="A212" s="9">
        <v>1220</v>
      </c>
      <c r="B212" s="10" t="s">
        <v>255</v>
      </c>
      <c r="C212" s="10" t="s">
        <v>49</v>
      </c>
      <c r="D212" s="11">
        <v>45923</v>
      </c>
      <c r="E212" s="12">
        <v>45923</v>
      </c>
      <c r="F212" s="13" t="s">
        <v>45</v>
      </c>
      <c r="G212" s="14">
        <v>10</v>
      </c>
      <c r="H212" s="13" t="s">
        <v>41</v>
      </c>
      <c r="I212" s="13" t="s">
        <v>45</v>
      </c>
      <c r="J212" s="14">
        <v>0</v>
      </c>
      <c r="K212" s="13" t="s">
        <v>40</v>
      </c>
      <c r="L212" s="14">
        <v>20</v>
      </c>
      <c r="M212" s="14">
        <f t="shared" si="6"/>
        <v>30</v>
      </c>
      <c r="N212" s="14">
        <v>5</v>
      </c>
      <c r="O212" s="10" t="s">
        <v>42</v>
      </c>
      <c r="P212" s="15">
        <f t="shared" si="7"/>
        <v>25</v>
      </c>
    </row>
    <row r="213" spans="1:16" x14ac:dyDescent="0.25">
      <c r="A213" s="10">
        <v>1221</v>
      </c>
      <c r="B213" s="10" t="s">
        <v>256</v>
      </c>
      <c r="C213" s="10" t="s">
        <v>44</v>
      </c>
      <c r="D213" s="11">
        <v>45924</v>
      </c>
      <c r="E213" s="12">
        <v>45924</v>
      </c>
      <c r="F213" s="13" t="s">
        <v>40</v>
      </c>
      <c r="G213" s="14">
        <v>5</v>
      </c>
      <c r="H213" s="13" t="s">
        <v>46</v>
      </c>
      <c r="I213" s="13" t="s">
        <v>45</v>
      </c>
      <c r="J213" s="14">
        <v>0</v>
      </c>
      <c r="K213" s="13" t="s">
        <v>45</v>
      </c>
      <c r="L213" s="14">
        <v>0</v>
      </c>
      <c r="M213" s="14">
        <f t="shared" si="6"/>
        <v>5</v>
      </c>
      <c r="N213" s="14">
        <v>0</v>
      </c>
      <c r="O213" s="10" t="s">
        <v>51</v>
      </c>
      <c r="P213" s="15">
        <f t="shared" si="7"/>
        <v>5</v>
      </c>
    </row>
    <row r="214" spans="1:16" x14ac:dyDescent="0.25">
      <c r="A214" s="9">
        <v>1222</v>
      </c>
      <c r="B214" s="10" t="s">
        <v>257</v>
      </c>
      <c r="C214" s="10" t="s">
        <v>39</v>
      </c>
      <c r="D214" s="11">
        <v>45925</v>
      </c>
      <c r="E214" s="12">
        <v>45925</v>
      </c>
      <c r="F214" s="13" t="s">
        <v>45</v>
      </c>
      <c r="G214" s="14">
        <v>15</v>
      </c>
      <c r="H214" s="13" t="s">
        <v>50</v>
      </c>
      <c r="I214" s="13" t="s">
        <v>40</v>
      </c>
      <c r="J214" s="14">
        <v>30</v>
      </c>
      <c r="K214" s="13" t="s">
        <v>40</v>
      </c>
      <c r="L214" s="14">
        <v>20</v>
      </c>
      <c r="M214" s="14">
        <f t="shared" si="6"/>
        <v>65</v>
      </c>
      <c r="N214" s="14">
        <v>20</v>
      </c>
      <c r="O214" s="10" t="s">
        <v>47</v>
      </c>
      <c r="P214" s="15">
        <f t="shared" si="7"/>
        <v>45</v>
      </c>
    </row>
    <row r="215" spans="1:16" x14ac:dyDescent="0.25">
      <c r="A215" s="10">
        <v>1223</v>
      </c>
      <c r="B215" s="10" t="s">
        <v>258</v>
      </c>
      <c r="C215" s="10" t="s">
        <v>49</v>
      </c>
      <c r="D215" s="11">
        <v>45926</v>
      </c>
      <c r="E215" s="12">
        <v>45926</v>
      </c>
      <c r="F215" s="13" t="s">
        <v>40</v>
      </c>
      <c r="G215" s="14">
        <v>10</v>
      </c>
      <c r="H215" s="13" t="s">
        <v>50</v>
      </c>
      <c r="I215" s="13" t="s">
        <v>45</v>
      </c>
      <c r="J215" s="14">
        <v>0</v>
      </c>
      <c r="K215" s="13" t="s">
        <v>40</v>
      </c>
      <c r="L215" s="14">
        <v>20</v>
      </c>
      <c r="M215" s="14">
        <f t="shared" si="6"/>
        <v>30</v>
      </c>
      <c r="N215" s="14">
        <v>12</v>
      </c>
      <c r="O215" s="10" t="s">
        <v>58</v>
      </c>
      <c r="P215" s="15">
        <f t="shared" si="7"/>
        <v>18</v>
      </c>
    </row>
    <row r="216" spans="1:16" x14ac:dyDescent="0.25">
      <c r="A216" s="9">
        <v>1224</v>
      </c>
      <c r="B216" s="10" t="s">
        <v>88</v>
      </c>
      <c r="C216" s="10" t="s">
        <v>44</v>
      </c>
      <c r="D216" s="11">
        <v>45927</v>
      </c>
      <c r="E216" s="12">
        <v>45927</v>
      </c>
      <c r="F216" s="13" t="s">
        <v>45</v>
      </c>
      <c r="G216" s="14">
        <v>5</v>
      </c>
      <c r="H216" s="13" t="s">
        <v>41</v>
      </c>
      <c r="I216" s="13" t="s">
        <v>45</v>
      </c>
      <c r="J216" s="14">
        <v>0</v>
      </c>
      <c r="K216" s="13" t="s">
        <v>45</v>
      </c>
      <c r="L216" s="14">
        <v>0</v>
      </c>
      <c r="M216" s="14">
        <f t="shared" si="6"/>
        <v>5</v>
      </c>
      <c r="N216" s="14">
        <v>2</v>
      </c>
      <c r="O216" s="10" t="s">
        <v>47</v>
      </c>
      <c r="P216" s="15">
        <f t="shared" si="7"/>
        <v>3</v>
      </c>
    </row>
    <row r="217" spans="1:16" x14ac:dyDescent="0.25">
      <c r="A217" s="10">
        <v>1225</v>
      </c>
      <c r="B217" s="10" t="s">
        <v>259</v>
      </c>
      <c r="C217" s="10" t="s">
        <v>39</v>
      </c>
      <c r="D217" s="11">
        <v>45928</v>
      </c>
      <c r="E217" s="12">
        <v>45928</v>
      </c>
      <c r="F217" s="13" t="s">
        <v>40</v>
      </c>
      <c r="G217" s="14">
        <v>15</v>
      </c>
      <c r="H217" s="13" t="s">
        <v>46</v>
      </c>
      <c r="I217" s="13" t="s">
        <v>40</v>
      </c>
      <c r="J217" s="14">
        <v>30</v>
      </c>
      <c r="K217" s="13" t="s">
        <v>40</v>
      </c>
      <c r="L217" s="14">
        <v>20</v>
      </c>
      <c r="M217" s="14">
        <f t="shared" si="6"/>
        <v>65</v>
      </c>
      <c r="N217" s="14">
        <v>5</v>
      </c>
      <c r="O217" s="10" t="s">
        <v>51</v>
      </c>
      <c r="P217" s="15">
        <f t="shared" si="7"/>
        <v>60</v>
      </c>
    </row>
    <row r="218" spans="1:16" x14ac:dyDescent="0.25">
      <c r="A218" s="9">
        <v>1226</v>
      </c>
      <c r="B218" s="10" t="s">
        <v>260</v>
      </c>
      <c r="C218" s="10" t="s">
        <v>49</v>
      </c>
      <c r="D218" s="11">
        <v>45929</v>
      </c>
      <c r="E218" s="12">
        <v>45929</v>
      </c>
      <c r="F218" s="13" t="s">
        <v>45</v>
      </c>
      <c r="G218" s="14">
        <v>10</v>
      </c>
      <c r="H218" s="13" t="s">
        <v>41</v>
      </c>
      <c r="I218" s="13" t="s">
        <v>45</v>
      </c>
      <c r="J218" s="14">
        <v>0</v>
      </c>
      <c r="K218" s="13" t="s">
        <v>40</v>
      </c>
      <c r="L218" s="14">
        <v>20</v>
      </c>
      <c r="M218" s="14">
        <f t="shared" si="6"/>
        <v>30</v>
      </c>
      <c r="N218" s="14">
        <v>10</v>
      </c>
      <c r="O218" s="10" t="s">
        <v>42</v>
      </c>
      <c r="P218" s="15">
        <f t="shared" si="7"/>
        <v>20</v>
      </c>
    </row>
    <row r="219" spans="1:16" x14ac:dyDescent="0.25">
      <c r="A219" s="10">
        <v>1227</v>
      </c>
      <c r="B219" s="10" t="s">
        <v>261</v>
      </c>
      <c r="C219" s="10" t="s">
        <v>44</v>
      </c>
      <c r="D219" s="11">
        <v>45930</v>
      </c>
      <c r="E219" s="12">
        <v>45930</v>
      </c>
      <c r="F219" s="13" t="s">
        <v>40</v>
      </c>
      <c r="G219" s="14">
        <v>5</v>
      </c>
      <c r="H219" s="13" t="s">
        <v>50</v>
      </c>
      <c r="I219" s="13" t="s">
        <v>45</v>
      </c>
      <c r="J219" s="14">
        <v>0</v>
      </c>
      <c r="K219" s="13" t="s">
        <v>45</v>
      </c>
      <c r="L219" s="14">
        <v>0</v>
      </c>
      <c r="M219" s="14">
        <f t="shared" si="6"/>
        <v>5</v>
      </c>
      <c r="N219" s="14">
        <v>0</v>
      </c>
      <c r="O219" s="10" t="s">
        <v>51</v>
      </c>
      <c r="P219" s="15">
        <f t="shared" si="7"/>
        <v>5</v>
      </c>
    </row>
    <row r="220" spans="1:16" x14ac:dyDescent="0.25">
      <c r="A220" s="9">
        <v>1228</v>
      </c>
      <c r="B220" s="10" t="s">
        <v>262</v>
      </c>
      <c r="C220" s="10" t="s">
        <v>39</v>
      </c>
      <c r="D220" s="11">
        <v>45931</v>
      </c>
      <c r="E220" s="12">
        <v>45931</v>
      </c>
      <c r="F220" s="13" t="s">
        <v>45</v>
      </c>
      <c r="G220" s="14">
        <v>15</v>
      </c>
      <c r="H220" s="13" t="s">
        <v>41</v>
      </c>
      <c r="I220" s="13" t="s">
        <v>40</v>
      </c>
      <c r="J220" s="14">
        <v>30</v>
      </c>
      <c r="K220" s="13" t="s">
        <v>40</v>
      </c>
      <c r="L220" s="14">
        <v>20</v>
      </c>
      <c r="M220" s="14">
        <f t="shared" si="6"/>
        <v>65</v>
      </c>
      <c r="N220" s="14">
        <v>3</v>
      </c>
      <c r="O220" s="10" t="s">
        <v>51</v>
      </c>
      <c r="P220" s="15">
        <f t="shared" si="7"/>
        <v>62</v>
      </c>
    </row>
    <row r="221" spans="1:16" x14ac:dyDescent="0.25">
      <c r="A221" s="10">
        <v>1229</v>
      </c>
      <c r="B221" s="10" t="s">
        <v>263</v>
      </c>
      <c r="C221" s="10" t="s">
        <v>49</v>
      </c>
      <c r="D221" s="11">
        <v>45932</v>
      </c>
      <c r="E221" s="12">
        <v>45932</v>
      </c>
      <c r="F221" s="13" t="s">
        <v>40</v>
      </c>
      <c r="G221" s="14">
        <v>10</v>
      </c>
      <c r="H221" s="13" t="s">
        <v>46</v>
      </c>
      <c r="I221" s="13" t="s">
        <v>45</v>
      </c>
      <c r="J221" s="14">
        <v>0</v>
      </c>
      <c r="K221" s="13" t="s">
        <v>40</v>
      </c>
      <c r="L221" s="14">
        <v>20</v>
      </c>
      <c r="M221" s="14">
        <f t="shared" si="6"/>
        <v>30</v>
      </c>
      <c r="N221" s="14">
        <v>15</v>
      </c>
      <c r="O221" s="10" t="s">
        <v>58</v>
      </c>
      <c r="P221" s="15">
        <f t="shared" si="7"/>
        <v>15</v>
      </c>
    </row>
    <row r="222" spans="1:16" x14ac:dyDescent="0.25">
      <c r="A222" s="9">
        <v>1230</v>
      </c>
      <c r="B222" s="10" t="s">
        <v>264</v>
      </c>
      <c r="C222" s="10" t="s">
        <v>44</v>
      </c>
      <c r="D222" s="11">
        <v>45933</v>
      </c>
      <c r="E222" s="12">
        <v>45933</v>
      </c>
      <c r="F222" s="13" t="s">
        <v>45</v>
      </c>
      <c r="G222" s="14">
        <v>5</v>
      </c>
      <c r="H222" s="13" t="s">
        <v>41</v>
      </c>
      <c r="I222" s="13" t="s">
        <v>45</v>
      </c>
      <c r="J222" s="14">
        <v>0</v>
      </c>
      <c r="K222" s="13" t="s">
        <v>45</v>
      </c>
      <c r="L222" s="14">
        <v>0</v>
      </c>
      <c r="M222" s="14">
        <f t="shared" si="6"/>
        <v>5</v>
      </c>
      <c r="N222" s="14">
        <v>1</v>
      </c>
      <c r="O222" s="10" t="s">
        <v>58</v>
      </c>
      <c r="P222" s="15">
        <f t="shared" si="7"/>
        <v>4</v>
      </c>
    </row>
    <row r="223" spans="1:16" x14ac:dyDescent="0.25">
      <c r="A223" s="10">
        <v>1231</v>
      </c>
      <c r="B223" s="10" t="s">
        <v>242</v>
      </c>
      <c r="C223" s="10" t="s">
        <v>39</v>
      </c>
      <c r="D223" s="11">
        <v>45934</v>
      </c>
      <c r="E223" s="12">
        <v>45934</v>
      </c>
      <c r="F223" s="13" t="s">
        <v>40</v>
      </c>
      <c r="G223" s="14">
        <v>15</v>
      </c>
      <c r="H223" s="13" t="s">
        <v>50</v>
      </c>
      <c r="I223" s="13" t="s">
        <v>40</v>
      </c>
      <c r="J223" s="14">
        <v>30</v>
      </c>
      <c r="K223" s="13" t="s">
        <v>40</v>
      </c>
      <c r="L223" s="14">
        <v>20</v>
      </c>
      <c r="M223" s="14">
        <f t="shared" si="6"/>
        <v>65</v>
      </c>
      <c r="N223" s="14">
        <v>7</v>
      </c>
      <c r="O223" s="10" t="s">
        <v>58</v>
      </c>
      <c r="P223" s="15">
        <f t="shared" si="7"/>
        <v>58</v>
      </c>
    </row>
    <row r="224" spans="1:16" x14ac:dyDescent="0.25">
      <c r="A224" s="9">
        <v>1232</v>
      </c>
      <c r="B224" s="10" t="s">
        <v>96</v>
      </c>
      <c r="C224" s="10" t="s">
        <v>49</v>
      </c>
      <c r="D224" s="11">
        <v>45935</v>
      </c>
      <c r="E224" s="12">
        <v>45935</v>
      </c>
      <c r="F224" s="13" t="s">
        <v>45</v>
      </c>
      <c r="G224" s="14">
        <v>10</v>
      </c>
      <c r="H224" s="13" t="s">
        <v>41</v>
      </c>
      <c r="I224" s="13" t="s">
        <v>45</v>
      </c>
      <c r="J224" s="14">
        <v>0</v>
      </c>
      <c r="K224" s="13" t="s">
        <v>40</v>
      </c>
      <c r="L224" s="14">
        <v>20</v>
      </c>
      <c r="M224" s="14">
        <f t="shared" si="6"/>
        <v>30</v>
      </c>
      <c r="N224" s="14">
        <v>10</v>
      </c>
      <c r="O224" s="10" t="s">
        <v>58</v>
      </c>
      <c r="P224" s="15">
        <f t="shared" si="7"/>
        <v>20</v>
      </c>
    </row>
    <row r="225" spans="1:16" x14ac:dyDescent="0.25">
      <c r="A225" s="10">
        <v>1233</v>
      </c>
      <c r="B225" s="10" t="s">
        <v>265</v>
      </c>
      <c r="C225" s="10" t="s">
        <v>44</v>
      </c>
      <c r="D225" s="11">
        <v>45936</v>
      </c>
      <c r="E225" s="12">
        <v>45936</v>
      </c>
      <c r="F225" s="13" t="s">
        <v>40</v>
      </c>
      <c r="G225" s="14">
        <v>5</v>
      </c>
      <c r="H225" s="13" t="s">
        <v>46</v>
      </c>
      <c r="I225" s="13" t="s">
        <v>45</v>
      </c>
      <c r="J225" s="14">
        <v>0</v>
      </c>
      <c r="K225" s="13" t="s">
        <v>45</v>
      </c>
      <c r="L225" s="14">
        <v>0</v>
      </c>
      <c r="M225" s="14">
        <f t="shared" si="6"/>
        <v>5</v>
      </c>
      <c r="N225" s="14">
        <v>0</v>
      </c>
      <c r="O225" s="10" t="s">
        <v>58</v>
      </c>
      <c r="P225" s="15">
        <f t="shared" si="7"/>
        <v>5</v>
      </c>
    </row>
    <row r="226" spans="1:16" x14ac:dyDescent="0.25">
      <c r="A226" s="9">
        <v>1234</v>
      </c>
      <c r="B226" s="10" t="s">
        <v>266</v>
      </c>
      <c r="C226" s="10" t="s">
        <v>39</v>
      </c>
      <c r="D226" s="11">
        <v>45937</v>
      </c>
      <c r="E226" s="12">
        <v>45937</v>
      </c>
      <c r="F226" s="13" t="s">
        <v>45</v>
      </c>
      <c r="G226" s="14">
        <v>15</v>
      </c>
      <c r="H226" s="13" t="s">
        <v>41</v>
      </c>
      <c r="I226" s="13" t="s">
        <v>40</v>
      </c>
      <c r="J226" s="14">
        <v>30</v>
      </c>
      <c r="K226" s="13" t="s">
        <v>40</v>
      </c>
      <c r="L226" s="14">
        <v>20</v>
      </c>
      <c r="M226" s="14">
        <f t="shared" si="6"/>
        <v>65</v>
      </c>
      <c r="N226" s="14">
        <v>20</v>
      </c>
      <c r="O226" s="10" t="s">
        <v>42</v>
      </c>
      <c r="P226" s="15">
        <f t="shared" si="7"/>
        <v>45</v>
      </c>
    </row>
    <row r="227" spans="1:16" x14ac:dyDescent="0.25">
      <c r="A227" s="10">
        <v>1235</v>
      </c>
      <c r="B227" s="10" t="s">
        <v>267</v>
      </c>
      <c r="C227" s="10" t="s">
        <v>49</v>
      </c>
      <c r="D227" s="11">
        <v>45938</v>
      </c>
      <c r="E227" s="12">
        <v>45938</v>
      </c>
      <c r="F227" s="13" t="s">
        <v>40</v>
      </c>
      <c r="G227" s="14">
        <v>10</v>
      </c>
      <c r="H227" s="13" t="s">
        <v>50</v>
      </c>
      <c r="I227" s="13" t="s">
        <v>45</v>
      </c>
      <c r="J227" s="14">
        <v>0</v>
      </c>
      <c r="K227" s="13" t="s">
        <v>40</v>
      </c>
      <c r="L227" s="14">
        <v>20</v>
      </c>
      <c r="M227" s="14">
        <f t="shared" si="6"/>
        <v>30</v>
      </c>
      <c r="N227" s="14">
        <v>15</v>
      </c>
      <c r="O227" s="10" t="s">
        <v>42</v>
      </c>
      <c r="P227" s="15">
        <f t="shared" si="7"/>
        <v>15</v>
      </c>
    </row>
    <row r="228" spans="1:16" x14ac:dyDescent="0.25">
      <c r="A228" s="9">
        <v>1236</v>
      </c>
      <c r="B228" s="10" t="s">
        <v>268</v>
      </c>
      <c r="C228" s="10" t="s">
        <v>44</v>
      </c>
      <c r="D228" s="11">
        <v>45939</v>
      </c>
      <c r="E228" s="12">
        <v>45939</v>
      </c>
      <c r="F228" s="13" t="s">
        <v>45</v>
      </c>
      <c r="G228" s="14">
        <v>5</v>
      </c>
      <c r="H228" s="13" t="s">
        <v>41</v>
      </c>
      <c r="I228" s="13" t="s">
        <v>45</v>
      </c>
      <c r="J228" s="14">
        <v>0</v>
      </c>
      <c r="K228" s="13" t="s">
        <v>45</v>
      </c>
      <c r="L228" s="14">
        <v>0</v>
      </c>
      <c r="M228" s="14">
        <f t="shared" si="6"/>
        <v>5</v>
      </c>
      <c r="N228" s="14">
        <v>1</v>
      </c>
      <c r="O228" s="10" t="s">
        <v>42</v>
      </c>
      <c r="P228" s="15">
        <f t="shared" si="7"/>
        <v>4</v>
      </c>
    </row>
    <row r="229" spans="1:16" x14ac:dyDescent="0.25">
      <c r="A229" s="10">
        <v>1237</v>
      </c>
      <c r="B229" s="10" t="s">
        <v>269</v>
      </c>
      <c r="C229" s="10" t="s">
        <v>39</v>
      </c>
      <c r="D229" s="11">
        <v>45940</v>
      </c>
      <c r="E229" s="12">
        <v>45940</v>
      </c>
      <c r="F229" s="13" t="s">
        <v>40</v>
      </c>
      <c r="G229" s="14">
        <v>15</v>
      </c>
      <c r="H229" s="13" t="s">
        <v>46</v>
      </c>
      <c r="I229" s="13" t="s">
        <v>40</v>
      </c>
      <c r="J229" s="14">
        <v>30</v>
      </c>
      <c r="K229" s="13" t="s">
        <v>40</v>
      </c>
      <c r="L229" s="14">
        <v>20</v>
      </c>
      <c r="M229" s="14">
        <f t="shared" si="6"/>
        <v>65</v>
      </c>
      <c r="N229" s="14">
        <v>3</v>
      </c>
      <c r="O229" s="10" t="s">
        <v>51</v>
      </c>
      <c r="P229" s="15">
        <f t="shared" si="7"/>
        <v>62</v>
      </c>
    </row>
    <row r="230" spans="1:16" x14ac:dyDescent="0.25">
      <c r="A230" s="9">
        <v>1238</v>
      </c>
      <c r="B230" s="10" t="s">
        <v>270</v>
      </c>
      <c r="C230" s="10" t="s">
        <v>49</v>
      </c>
      <c r="D230" s="11">
        <v>45941</v>
      </c>
      <c r="E230" s="12">
        <v>45941</v>
      </c>
      <c r="F230" s="13" t="s">
        <v>45</v>
      </c>
      <c r="G230" s="14">
        <v>10</v>
      </c>
      <c r="H230" s="13" t="s">
        <v>41</v>
      </c>
      <c r="I230" s="13" t="s">
        <v>45</v>
      </c>
      <c r="J230" s="14">
        <v>0</v>
      </c>
      <c r="K230" s="13" t="s">
        <v>40</v>
      </c>
      <c r="L230" s="14">
        <v>20</v>
      </c>
      <c r="M230" s="14">
        <f t="shared" si="6"/>
        <v>30</v>
      </c>
      <c r="N230" s="14">
        <v>10</v>
      </c>
      <c r="O230" s="10" t="s">
        <v>58</v>
      </c>
      <c r="P230" s="15">
        <f t="shared" si="7"/>
        <v>20</v>
      </c>
    </row>
    <row r="231" spans="1:16" x14ac:dyDescent="0.25">
      <c r="A231" s="10">
        <v>1239</v>
      </c>
      <c r="B231" s="10" t="s">
        <v>178</v>
      </c>
      <c r="C231" s="10" t="s">
        <v>44</v>
      </c>
      <c r="D231" s="11">
        <v>45942</v>
      </c>
      <c r="E231" s="12">
        <v>45942</v>
      </c>
      <c r="F231" s="13" t="s">
        <v>40</v>
      </c>
      <c r="G231" s="14">
        <v>5</v>
      </c>
      <c r="H231" s="13" t="s">
        <v>50</v>
      </c>
      <c r="I231" s="13" t="s">
        <v>45</v>
      </c>
      <c r="J231" s="14">
        <v>0</v>
      </c>
      <c r="K231" s="13" t="s">
        <v>45</v>
      </c>
      <c r="L231" s="14">
        <v>0</v>
      </c>
      <c r="M231" s="14">
        <f t="shared" si="6"/>
        <v>5</v>
      </c>
      <c r="N231" s="14">
        <v>0</v>
      </c>
      <c r="O231" s="10" t="s">
        <v>51</v>
      </c>
      <c r="P231" s="15">
        <f t="shared" si="7"/>
        <v>5</v>
      </c>
    </row>
    <row r="232" spans="1:16" x14ac:dyDescent="0.25">
      <c r="A232" s="9">
        <v>1240</v>
      </c>
      <c r="B232" s="10" t="s">
        <v>271</v>
      </c>
      <c r="C232" s="10" t="s">
        <v>39</v>
      </c>
      <c r="D232" s="11">
        <v>45943</v>
      </c>
      <c r="E232" s="12">
        <v>45943</v>
      </c>
      <c r="F232" s="13" t="s">
        <v>45</v>
      </c>
      <c r="G232" s="14">
        <v>15</v>
      </c>
      <c r="H232" s="13" t="s">
        <v>41</v>
      </c>
      <c r="I232" s="13" t="s">
        <v>40</v>
      </c>
      <c r="J232" s="14">
        <v>30</v>
      </c>
      <c r="K232" s="13" t="s">
        <v>40</v>
      </c>
      <c r="L232" s="14">
        <v>20</v>
      </c>
      <c r="M232" s="14">
        <f t="shared" si="6"/>
        <v>65</v>
      </c>
      <c r="N232" s="14">
        <v>15</v>
      </c>
      <c r="O232" s="10" t="s">
        <v>51</v>
      </c>
      <c r="P232" s="15">
        <f t="shared" si="7"/>
        <v>50</v>
      </c>
    </row>
    <row r="233" spans="1:16" x14ac:dyDescent="0.25">
      <c r="A233" s="10">
        <v>1241</v>
      </c>
      <c r="B233" s="10" t="s">
        <v>272</v>
      </c>
      <c r="C233" s="10" t="s">
        <v>49</v>
      </c>
      <c r="D233" s="11">
        <v>45944</v>
      </c>
      <c r="E233" s="12">
        <v>45944</v>
      </c>
      <c r="F233" s="13" t="s">
        <v>40</v>
      </c>
      <c r="G233" s="14">
        <v>10</v>
      </c>
      <c r="H233" s="13" t="s">
        <v>46</v>
      </c>
      <c r="I233" s="13" t="s">
        <v>45</v>
      </c>
      <c r="J233" s="14">
        <v>0</v>
      </c>
      <c r="K233" s="13" t="s">
        <v>40</v>
      </c>
      <c r="L233" s="14">
        <v>20</v>
      </c>
      <c r="M233" s="14">
        <f t="shared" si="6"/>
        <v>30</v>
      </c>
      <c r="N233" s="14">
        <v>15</v>
      </c>
      <c r="O233" s="10" t="s">
        <v>54</v>
      </c>
      <c r="P233" s="15">
        <f t="shared" si="7"/>
        <v>15</v>
      </c>
    </row>
    <row r="234" spans="1:16" x14ac:dyDescent="0.25">
      <c r="A234" s="9">
        <v>1242</v>
      </c>
      <c r="B234" s="10" t="s">
        <v>273</v>
      </c>
      <c r="C234" s="10" t="s">
        <v>44</v>
      </c>
      <c r="D234" s="11">
        <v>45945</v>
      </c>
      <c r="E234" s="12">
        <v>45945</v>
      </c>
      <c r="F234" s="13" t="s">
        <v>45</v>
      </c>
      <c r="G234" s="14">
        <v>5</v>
      </c>
      <c r="H234" s="13" t="s">
        <v>41</v>
      </c>
      <c r="I234" s="13" t="s">
        <v>45</v>
      </c>
      <c r="J234" s="14">
        <v>0</v>
      </c>
      <c r="K234" s="13" t="s">
        <v>45</v>
      </c>
      <c r="L234" s="14">
        <v>0</v>
      </c>
      <c r="M234" s="14">
        <f t="shared" si="6"/>
        <v>5</v>
      </c>
      <c r="N234" s="14">
        <v>1</v>
      </c>
      <c r="O234" s="10" t="s">
        <v>58</v>
      </c>
      <c r="P234" s="15">
        <f t="shared" si="7"/>
        <v>4</v>
      </c>
    </row>
    <row r="235" spans="1:16" x14ac:dyDescent="0.25">
      <c r="A235" s="10">
        <v>1243</v>
      </c>
      <c r="B235" s="10" t="s">
        <v>274</v>
      </c>
      <c r="C235" s="10" t="s">
        <v>39</v>
      </c>
      <c r="D235" s="11">
        <v>45946</v>
      </c>
      <c r="E235" s="12">
        <v>45946</v>
      </c>
      <c r="F235" s="13" t="s">
        <v>40</v>
      </c>
      <c r="G235" s="14">
        <v>15</v>
      </c>
      <c r="H235" s="13" t="s">
        <v>50</v>
      </c>
      <c r="I235" s="13" t="s">
        <v>40</v>
      </c>
      <c r="J235" s="14">
        <v>30</v>
      </c>
      <c r="K235" s="13" t="s">
        <v>40</v>
      </c>
      <c r="L235" s="14">
        <v>20</v>
      </c>
      <c r="M235" s="14">
        <f t="shared" si="6"/>
        <v>65</v>
      </c>
      <c r="N235" s="14">
        <v>7</v>
      </c>
      <c r="O235" s="10" t="s">
        <v>58</v>
      </c>
      <c r="P235" s="15">
        <f t="shared" si="7"/>
        <v>58</v>
      </c>
    </row>
    <row r="236" spans="1:16" x14ac:dyDescent="0.25">
      <c r="A236" s="9">
        <v>1244</v>
      </c>
      <c r="B236" s="10" t="s">
        <v>275</v>
      </c>
      <c r="C236" s="10" t="s">
        <v>49</v>
      </c>
      <c r="D236" s="11">
        <v>45947</v>
      </c>
      <c r="E236" s="12">
        <v>45947</v>
      </c>
      <c r="F236" s="13" t="s">
        <v>45</v>
      </c>
      <c r="G236" s="14">
        <v>10</v>
      </c>
      <c r="H236" s="13" t="s">
        <v>41</v>
      </c>
      <c r="I236" s="13" t="s">
        <v>45</v>
      </c>
      <c r="J236" s="14">
        <v>0</v>
      </c>
      <c r="K236" s="13" t="s">
        <v>40</v>
      </c>
      <c r="L236" s="14">
        <v>20</v>
      </c>
      <c r="M236" s="14">
        <f t="shared" si="6"/>
        <v>30</v>
      </c>
      <c r="N236" s="14">
        <v>10</v>
      </c>
      <c r="O236" s="10" t="s">
        <v>58</v>
      </c>
      <c r="P236" s="15">
        <f t="shared" si="7"/>
        <v>20</v>
      </c>
    </row>
    <row r="237" spans="1:16" x14ac:dyDescent="0.25">
      <c r="A237" s="10">
        <v>1245</v>
      </c>
      <c r="B237" s="10" t="s">
        <v>276</v>
      </c>
      <c r="C237" s="10" t="s">
        <v>44</v>
      </c>
      <c r="D237" s="11">
        <v>45948</v>
      </c>
      <c r="E237" s="12">
        <v>45948</v>
      </c>
      <c r="F237" s="13" t="s">
        <v>40</v>
      </c>
      <c r="G237" s="14">
        <v>5</v>
      </c>
      <c r="H237" s="13" t="s">
        <v>46</v>
      </c>
      <c r="I237" s="13" t="s">
        <v>45</v>
      </c>
      <c r="J237" s="14">
        <v>0</v>
      </c>
      <c r="K237" s="13" t="s">
        <v>45</v>
      </c>
      <c r="L237" s="14">
        <v>0</v>
      </c>
      <c r="M237" s="14">
        <f t="shared" si="6"/>
        <v>5</v>
      </c>
      <c r="N237" s="14">
        <v>0</v>
      </c>
      <c r="O237" s="10" t="s">
        <v>54</v>
      </c>
      <c r="P237" s="15">
        <f t="shared" si="7"/>
        <v>5</v>
      </c>
    </row>
    <row r="238" spans="1:16" x14ac:dyDescent="0.25">
      <c r="A238" s="9">
        <v>1246</v>
      </c>
      <c r="B238" s="10" t="s">
        <v>277</v>
      </c>
      <c r="C238" s="10" t="s">
        <v>39</v>
      </c>
      <c r="D238" s="11">
        <v>45949</v>
      </c>
      <c r="E238" s="12">
        <v>45949</v>
      </c>
      <c r="F238" s="13" t="s">
        <v>45</v>
      </c>
      <c r="G238" s="14">
        <v>15</v>
      </c>
      <c r="H238" s="13" t="s">
        <v>41</v>
      </c>
      <c r="I238" s="13" t="s">
        <v>40</v>
      </c>
      <c r="J238" s="14">
        <v>30</v>
      </c>
      <c r="K238" s="13" t="s">
        <v>40</v>
      </c>
      <c r="L238" s="14">
        <v>20</v>
      </c>
      <c r="M238" s="14">
        <f t="shared" si="6"/>
        <v>65</v>
      </c>
      <c r="N238" s="14">
        <v>15</v>
      </c>
      <c r="O238" s="10" t="s">
        <v>58</v>
      </c>
      <c r="P238" s="15">
        <f t="shared" si="7"/>
        <v>50</v>
      </c>
    </row>
    <row r="239" spans="1:16" x14ac:dyDescent="0.25">
      <c r="A239" s="10">
        <v>1247</v>
      </c>
      <c r="B239" s="10" t="s">
        <v>278</v>
      </c>
      <c r="C239" s="10" t="s">
        <v>49</v>
      </c>
      <c r="D239" s="11">
        <v>45950</v>
      </c>
      <c r="E239" s="12">
        <v>45950</v>
      </c>
      <c r="F239" s="13" t="s">
        <v>40</v>
      </c>
      <c r="G239" s="14">
        <v>10</v>
      </c>
      <c r="H239" s="13" t="s">
        <v>50</v>
      </c>
      <c r="I239" s="13" t="s">
        <v>45</v>
      </c>
      <c r="J239" s="14">
        <v>0</v>
      </c>
      <c r="K239" s="13" t="s">
        <v>40</v>
      </c>
      <c r="L239" s="14">
        <v>20</v>
      </c>
      <c r="M239" s="14">
        <f t="shared" si="6"/>
        <v>30</v>
      </c>
      <c r="N239" s="14">
        <v>12</v>
      </c>
      <c r="O239" s="10" t="s">
        <v>58</v>
      </c>
      <c r="P239" s="15">
        <f t="shared" si="7"/>
        <v>18</v>
      </c>
    </row>
    <row r="240" spans="1:16" x14ac:dyDescent="0.25">
      <c r="A240" s="9">
        <v>1248</v>
      </c>
      <c r="B240" s="10" t="s">
        <v>279</v>
      </c>
      <c r="C240" s="10" t="s">
        <v>44</v>
      </c>
      <c r="D240" s="11">
        <v>45951</v>
      </c>
      <c r="E240" s="12">
        <v>45951</v>
      </c>
      <c r="F240" s="13" t="s">
        <v>45</v>
      </c>
      <c r="G240" s="14">
        <v>5</v>
      </c>
      <c r="H240" s="13" t="s">
        <v>41</v>
      </c>
      <c r="I240" s="13" t="s">
        <v>45</v>
      </c>
      <c r="J240" s="14">
        <v>0</v>
      </c>
      <c r="K240" s="13" t="s">
        <v>45</v>
      </c>
      <c r="L240" s="14">
        <v>0</v>
      </c>
      <c r="M240" s="14">
        <f t="shared" si="6"/>
        <v>5</v>
      </c>
      <c r="N240" s="14">
        <v>2</v>
      </c>
      <c r="O240" s="10" t="s">
        <v>51</v>
      </c>
      <c r="P240" s="15">
        <f t="shared" si="7"/>
        <v>3</v>
      </c>
    </row>
    <row r="241" spans="1:16" x14ac:dyDescent="0.25">
      <c r="A241" s="10">
        <v>1249</v>
      </c>
      <c r="B241" s="10" t="s">
        <v>280</v>
      </c>
      <c r="C241" s="10" t="s">
        <v>39</v>
      </c>
      <c r="D241" s="11">
        <v>45952</v>
      </c>
      <c r="E241" s="12">
        <v>45952</v>
      </c>
      <c r="F241" s="13" t="s">
        <v>40</v>
      </c>
      <c r="G241" s="14">
        <v>15</v>
      </c>
      <c r="H241" s="13" t="s">
        <v>46</v>
      </c>
      <c r="I241" s="13" t="s">
        <v>40</v>
      </c>
      <c r="J241" s="14">
        <v>30</v>
      </c>
      <c r="K241" s="13" t="s">
        <v>40</v>
      </c>
      <c r="L241" s="14">
        <v>20</v>
      </c>
      <c r="M241" s="14">
        <f t="shared" si="6"/>
        <v>65</v>
      </c>
      <c r="N241" s="14">
        <v>5</v>
      </c>
      <c r="O241" s="10" t="s">
        <v>54</v>
      </c>
      <c r="P241" s="15">
        <f t="shared" si="7"/>
        <v>60</v>
      </c>
    </row>
    <row r="242" spans="1:16" x14ac:dyDescent="0.25">
      <c r="A242" s="9">
        <v>1250</v>
      </c>
      <c r="B242" s="10" t="s">
        <v>281</v>
      </c>
      <c r="C242" s="10" t="s">
        <v>49</v>
      </c>
      <c r="D242" s="11">
        <v>45953</v>
      </c>
      <c r="E242" s="12">
        <v>45953</v>
      </c>
      <c r="F242" s="13" t="s">
        <v>45</v>
      </c>
      <c r="G242" s="14">
        <v>10</v>
      </c>
      <c r="H242" s="13" t="s">
        <v>41</v>
      </c>
      <c r="I242" s="13" t="s">
        <v>45</v>
      </c>
      <c r="J242" s="14">
        <v>0</v>
      </c>
      <c r="K242" s="13" t="s">
        <v>40</v>
      </c>
      <c r="L242" s="14">
        <v>20</v>
      </c>
      <c r="M242" s="14">
        <f t="shared" si="6"/>
        <v>30</v>
      </c>
      <c r="N242" s="14">
        <v>10</v>
      </c>
      <c r="O242" s="10" t="s">
        <v>54</v>
      </c>
      <c r="P242" s="15">
        <f t="shared" si="7"/>
        <v>20</v>
      </c>
    </row>
    <row r="243" spans="1:16" x14ac:dyDescent="0.25">
      <c r="A243" s="10">
        <v>1251</v>
      </c>
      <c r="B243" s="10" t="s">
        <v>282</v>
      </c>
      <c r="C243" s="10" t="s">
        <v>44</v>
      </c>
      <c r="D243" s="11">
        <v>45954</v>
      </c>
      <c r="E243" s="12">
        <v>45954</v>
      </c>
      <c r="F243" s="13" t="s">
        <v>40</v>
      </c>
      <c r="G243" s="14">
        <v>5</v>
      </c>
      <c r="H243" s="13" t="s">
        <v>50</v>
      </c>
      <c r="I243" s="13" t="s">
        <v>45</v>
      </c>
      <c r="J243" s="14">
        <v>0</v>
      </c>
      <c r="K243" s="13" t="s">
        <v>45</v>
      </c>
      <c r="L243" s="14">
        <v>0</v>
      </c>
      <c r="M243" s="14">
        <f t="shared" si="6"/>
        <v>5</v>
      </c>
      <c r="N243" s="14">
        <v>0</v>
      </c>
      <c r="O243" s="10" t="s">
        <v>42</v>
      </c>
      <c r="P243" s="15">
        <f t="shared" si="7"/>
        <v>5</v>
      </c>
    </row>
    <row r="244" spans="1:16" x14ac:dyDescent="0.25">
      <c r="A244" s="9">
        <v>1252</v>
      </c>
      <c r="B244" s="10" t="s">
        <v>191</v>
      </c>
      <c r="C244" s="10" t="s">
        <v>39</v>
      </c>
      <c r="D244" s="11">
        <v>45955</v>
      </c>
      <c r="E244" s="12">
        <v>45955</v>
      </c>
      <c r="F244" s="13" t="s">
        <v>45</v>
      </c>
      <c r="G244" s="14">
        <v>15</v>
      </c>
      <c r="H244" s="13" t="s">
        <v>41</v>
      </c>
      <c r="I244" s="13" t="s">
        <v>40</v>
      </c>
      <c r="J244" s="14">
        <v>30</v>
      </c>
      <c r="K244" s="13" t="s">
        <v>40</v>
      </c>
      <c r="L244" s="14">
        <v>20</v>
      </c>
      <c r="M244" s="14">
        <f t="shared" si="6"/>
        <v>65</v>
      </c>
      <c r="N244" s="14">
        <v>3</v>
      </c>
      <c r="O244" s="10" t="s">
        <v>54</v>
      </c>
      <c r="P244" s="15">
        <f t="shared" si="7"/>
        <v>62</v>
      </c>
    </row>
    <row r="245" spans="1:16" x14ac:dyDescent="0.25">
      <c r="A245" s="10">
        <v>1253</v>
      </c>
      <c r="B245" s="10" t="s">
        <v>283</v>
      </c>
      <c r="C245" s="10" t="s">
        <v>49</v>
      </c>
      <c r="D245" s="11">
        <v>45956</v>
      </c>
      <c r="E245" s="12">
        <v>45956</v>
      </c>
      <c r="F245" s="13" t="s">
        <v>40</v>
      </c>
      <c r="G245" s="14">
        <v>10</v>
      </c>
      <c r="H245" s="13" t="s">
        <v>46</v>
      </c>
      <c r="I245" s="13" t="s">
        <v>45</v>
      </c>
      <c r="J245" s="14">
        <v>0</v>
      </c>
      <c r="K245" s="13" t="s">
        <v>40</v>
      </c>
      <c r="L245" s="14">
        <v>20</v>
      </c>
      <c r="M245" s="14">
        <f t="shared" si="6"/>
        <v>30</v>
      </c>
      <c r="N245" s="14">
        <v>15</v>
      </c>
      <c r="O245" s="10" t="s">
        <v>58</v>
      </c>
      <c r="P245" s="15">
        <f t="shared" si="7"/>
        <v>15</v>
      </c>
    </row>
    <row r="246" spans="1:16" x14ac:dyDescent="0.25">
      <c r="A246" s="9">
        <v>1254</v>
      </c>
      <c r="B246" s="10" t="s">
        <v>284</v>
      </c>
      <c r="C246" s="10" t="s">
        <v>44</v>
      </c>
      <c r="D246" s="11">
        <v>45957</v>
      </c>
      <c r="E246" s="12">
        <v>45957</v>
      </c>
      <c r="F246" s="13" t="s">
        <v>45</v>
      </c>
      <c r="G246" s="14">
        <v>5</v>
      </c>
      <c r="H246" s="13" t="s">
        <v>41</v>
      </c>
      <c r="I246" s="13" t="s">
        <v>45</v>
      </c>
      <c r="J246" s="14">
        <v>0</v>
      </c>
      <c r="K246" s="13" t="s">
        <v>45</v>
      </c>
      <c r="L246" s="14">
        <v>0</v>
      </c>
      <c r="M246" s="14">
        <f t="shared" si="6"/>
        <v>5</v>
      </c>
      <c r="N246" s="14">
        <v>1</v>
      </c>
      <c r="O246" s="10" t="s">
        <v>54</v>
      </c>
      <c r="P246" s="15">
        <f t="shared" si="7"/>
        <v>4</v>
      </c>
    </row>
    <row r="247" spans="1:16" x14ac:dyDescent="0.25">
      <c r="A247" s="10">
        <v>1255</v>
      </c>
      <c r="B247" s="10" t="s">
        <v>285</v>
      </c>
      <c r="C247" s="10" t="s">
        <v>39</v>
      </c>
      <c r="D247" s="11">
        <v>45958</v>
      </c>
      <c r="E247" s="12">
        <v>45958</v>
      </c>
      <c r="F247" s="13" t="s">
        <v>40</v>
      </c>
      <c r="G247" s="14">
        <v>15</v>
      </c>
      <c r="H247" s="13" t="s">
        <v>50</v>
      </c>
      <c r="I247" s="13" t="s">
        <v>40</v>
      </c>
      <c r="J247" s="14">
        <v>30</v>
      </c>
      <c r="K247" s="13" t="s">
        <v>40</v>
      </c>
      <c r="L247" s="14">
        <v>20</v>
      </c>
      <c r="M247" s="14">
        <f t="shared" si="6"/>
        <v>65</v>
      </c>
      <c r="N247" s="14">
        <v>7</v>
      </c>
      <c r="O247" s="10" t="s">
        <v>42</v>
      </c>
      <c r="P247" s="15">
        <f t="shared" si="7"/>
        <v>58</v>
      </c>
    </row>
    <row r="248" spans="1:16" x14ac:dyDescent="0.25">
      <c r="A248" s="9">
        <v>1256</v>
      </c>
      <c r="B248" s="10" t="s">
        <v>286</v>
      </c>
      <c r="C248" s="10" t="s">
        <v>49</v>
      </c>
      <c r="D248" s="11">
        <v>45959</v>
      </c>
      <c r="E248" s="12">
        <v>45959</v>
      </c>
      <c r="F248" s="13" t="s">
        <v>45</v>
      </c>
      <c r="G248" s="14">
        <v>10</v>
      </c>
      <c r="H248" s="13" t="s">
        <v>41</v>
      </c>
      <c r="I248" s="13" t="s">
        <v>45</v>
      </c>
      <c r="J248" s="14">
        <v>0</v>
      </c>
      <c r="K248" s="13" t="s">
        <v>40</v>
      </c>
      <c r="L248" s="14">
        <v>20</v>
      </c>
      <c r="M248" s="14">
        <f t="shared" si="6"/>
        <v>30</v>
      </c>
      <c r="N248" s="14">
        <v>10</v>
      </c>
      <c r="O248" s="10" t="s">
        <v>42</v>
      </c>
      <c r="P248" s="15">
        <f t="shared" si="7"/>
        <v>20</v>
      </c>
    </row>
    <row r="249" spans="1:16" x14ac:dyDescent="0.25">
      <c r="A249" s="10">
        <v>1257</v>
      </c>
      <c r="B249" s="10" t="s">
        <v>287</v>
      </c>
      <c r="C249" s="10" t="s">
        <v>44</v>
      </c>
      <c r="D249" s="11">
        <v>45960</v>
      </c>
      <c r="E249" s="12">
        <v>45960</v>
      </c>
      <c r="F249" s="13" t="s">
        <v>40</v>
      </c>
      <c r="G249" s="14">
        <v>5</v>
      </c>
      <c r="H249" s="13" t="s">
        <v>46</v>
      </c>
      <c r="I249" s="13" t="s">
        <v>45</v>
      </c>
      <c r="J249" s="14">
        <v>0</v>
      </c>
      <c r="K249" s="13" t="s">
        <v>45</v>
      </c>
      <c r="L249" s="14">
        <v>0</v>
      </c>
      <c r="M249" s="14">
        <f t="shared" si="6"/>
        <v>5</v>
      </c>
      <c r="N249" s="14">
        <v>0</v>
      </c>
      <c r="O249" s="10" t="s">
        <v>58</v>
      </c>
      <c r="P249" s="15">
        <f t="shared" si="7"/>
        <v>5</v>
      </c>
    </row>
    <row r="250" spans="1:16" x14ac:dyDescent="0.25">
      <c r="A250" s="9">
        <v>1258</v>
      </c>
      <c r="B250" s="10" t="s">
        <v>288</v>
      </c>
      <c r="C250" s="10" t="s">
        <v>39</v>
      </c>
      <c r="D250" s="11">
        <v>45961</v>
      </c>
      <c r="E250" s="12">
        <v>45961</v>
      </c>
      <c r="F250" s="13" t="s">
        <v>45</v>
      </c>
      <c r="G250" s="14">
        <v>15</v>
      </c>
      <c r="H250" s="13" t="s">
        <v>41</v>
      </c>
      <c r="I250" s="13" t="s">
        <v>40</v>
      </c>
      <c r="J250" s="14">
        <v>30</v>
      </c>
      <c r="K250" s="13" t="s">
        <v>40</v>
      </c>
      <c r="L250" s="14">
        <v>20</v>
      </c>
      <c r="M250" s="14">
        <f t="shared" si="6"/>
        <v>65</v>
      </c>
      <c r="N250" s="14">
        <v>20</v>
      </c>
      <c r="O250" s="10" t="s">
        <v>58</v>
      </c>
      <c r="P250" s="15">
        <f t="shared" si="7"/>
        <v>45</v>
      </c>
    </row>
    <row r="251" spans="1:16" x14ac:dyDescent="0.25">
      <c r="A251" s="10">
        <v>1259</v>
      </c>
      <c r="B251" s="10" t="s">
        <v>289</v>
      </c>
      <c r="C251" s="10" t="s">
        <v>49</v>
      </c>
      <c r="D251" s="11">
        <v>45962</v>
      </c>
      <c r="E251" s="12">
        <v>45962</v>
      </c>
      <c r="F251" s="13" t="s">
        <v>40</v>
      </c>
      <c r="G251" s="14">
        <v>10</v>
      </c>
      <c r="H251" s="13" t="s">
        <v>50</v>
      </c>
      <c r="I251" s="13" t="s">
        <v>45</v>
      </c>
      <c r="J251" s="14">
        <v>0</v>
      </c>
      <c r="K251" s="13" t="s">
        <v>40</v>
      </c>
      <c r="L251" s="14">
        <v>20</v>
      </c>
      <c r="M251" s="14">
        <f t="shared" si="6"/>
        <v>30</v>
      </c>
      <c r="N251" s="14">
        <v>15</v>
      </c>
      <c r="O251" s="10" t="s">
        <v>54</v>
      </c>
      <c r="P251" s="15">
        <f t="shared" si="7"/>
        <v>15</v>
      </c>
    </row>
    <row r="252" spans="1:16" x14ac:dyDescent="0.25">
      <c r="A252" s="9">
        <v>1260</v>
      </c>
      <c r="B252" s="10" t="s">
        <v>290</v>
      </c>
      <c r="C252" s="10" t="s">
        <v>44</v>
      </c>
      <c r="D252" s="11">
        <v>45963</v>
      </c>
      <c r="E252" s="12">
        <v>45963</v>
      </c>
      <c r="F252" s="13" t="s">
        <v>45</v>
      </c>
      <c r="G252" s="14">
        <v>5</v>
      </c>
      <c r="H252" s="13" t="s">
        <v>41</v>
      </c>
      <c r="I252" s="13" t="s">
        <v>45</v>
      </c>
      <c r="J252" s="14">
        <v>0</v>
      </c>
      <c r="K252" s="13" t="s">
        <v>45</v>
      </c>
      <c r="L252" s="14">
        <v>0</v>
      </c>
      <c r="M252" s="14">
        <f t="shared" si="6"/>
        <v>5</v>
      </c>
      <c r="N252" s="14">
        <v>1</v>
      </c>
      <c r="O252" s="10" t="s">
        <v>54</v>
      </c>
      <c r="P252" s="15">
        <f t="shared" si="7"/>
        <v>4</v>
      </c>
    </row>
    <row r="253" spans="1:16" x14ac:dyDescent="0.25">
      <c r="A253" s="10">
        <v>1261</v>
      </c>
      <c r="B253" s="10" t="s">
        <v>291</v>
      </c>
      <c r="C253" s="10" t="s">
        <v>39</v>
      </c>
      <c r="D253" s="11">
        <v>45964</v>
      </c>
      <c r="E253" s="12">
        <v>45964</v>
      </c>
      <c r="F253" s="13" t="s">
        <v>40</v>
      </c>
      <c r="G253" s="14">
        <v>15</v>
      </c>
      <c r="H253" s="13" t="s">
        <v>46</v>
      </c>
      <c r="I253" s="13" t="s">
        <v>40</v>
      </c>
      <c r="J253" s="14">
        <v>30</v>
      </c>
      <c r="K253" s="13" t="s">
        <v>40</v>
      </c>
      <c r="L253" s="14">
        <v>20</v>
      </c>
      <c r="M253" s="14">
        <f t="shared" si="6"/>
        <v>65</v>
      </c>
      <c r="N253" s="14">
        <v>3</v>
      </c>
      <c r="O253" s="10" t="s">
        <v>54</v>
      </c>
      <c r="P253" s="15">
        <f t="shared" si="7"/>
        <v>62</v>
      </c>
    </row>
    <row r="254" spans="1:16" x14ac:dyDescent="0.25">
      <c r="A254" s="9">
        <v>1262</v>
      </c>
      <c r="B254" s="10" t="s">
        <v>292</v>
      </c>
      <c r="C254" s="10" t="s">
        <v>49</v>
      </c>
      <c r="D254" s="11">
        <v>45965</v>
      </c>
      <c r="E254" s="12">
        <v>45965</v>
      </c>
      <c r="F254" s="13" t="s">
        <v>45</v>
      </c>
      <c r="G254" s="14">
        <v>10</v>
      </c>
      <c r="H254" s="13" t="s">
        <v>41</v>
      </c>
      <c r="I254" s="13" t="s">
        <v>45</v>
      </c>
      <c r="J254" s="14">
        <v>0</v>
      </c>
      <c r="K254" s="13" t="s">
        <v>40</v>
      </c>
      <c r="L254" s="14">
        <v>20</v>
      </c>
      <c r="M254" s="14">
        <f t="shared" si="6"/>
        <v>30</v>
      </c>
      <c r="N254" s="14">
        <v>10</v>
      </c>
      <c r="O254" s="10" t="s">
        <v>42</v>
      </c>
      <c r="P254" s="15">
        <f t="shared" si="7"/>
        <v>20</v>
      </c>
    </row>
    <row r="255" spans="1:16" x14ac:dyDescent="0.25">
      <c r="A255" s="10">
        <v>1263</v>
      </c>
      <c r="B255" s="10" t="s">
        <v>293</v>
      </c>
      <c r="C255" s="10" t="s">
        <v>44</v>
      </c>
      <c r="D255" s="11">
        <v>45966</v>
      </c>
      <c r="E255" s="12">
        <v>45966</v>
      </c>
      <c r="F255" s="13" t="s">
        <v>40</v>
      </c>
      <c r="G255" s="14">
        <v>5</v>
      </c>
      <c r="H255" s="13" t="s">
        <v>50</v>
      </c>
      <c r="I255" s="13" t="s">
        <v>45</v>
      </c>
      <c r="J255" s="14">
        <v>0</v>
      </c>
      <c r="K255" s="13" t="s">
        <v>45</v>
      </c>
      <c r="L255" s="14">
        <v>0</v>
      </c>
      <c r="M255" s="14">
        <f t="shared" si="6"/>
        <v>5</v>
      </c>
      <c r="N255" s="14">
        <v>0</v>
      </c>
      <c r="O255" s="10" t="s">
        <v>42</v>
      </c>
      <c r="P255" s="15">
        <f t="shared" si="7"/>
        <v>5</v>
      </c>
    </row>
    <row r="256" spans="1:16" x14ac:dyDescent="0.25">
      <c r="A256" s="9">
        <v>1264</v>
      </c>
      <c r="B256" s="10" t="s">
        <v>294</v>
      </c>
      <c r="C256" s="10" t="s">
        <v>39</v>
      </c>
      <c r="D256" s="11">
        <v>45967</v>
      </c>
      <c r="E256" s="12">
        <v>45967</v>
      </c>
      <c r="F256" s="13" t="s">
        <v>45</v>
      </c>
      <c r="G256" s="14">
        <v>15</v>
      </c>
      <c r="H256" s="13" t="s">
        <v>41</v>
      </c>
      <c r="I256" s="13" t="s">
        <v>40</v>
      </c>
      <c r="J256" s="14">
        <v>30</v>
      </c>
      <c r="K256" s="13" t="s">
        <v>40</v>
      </c>
      <c r="L256" s="14">
        <v>20</v>
      </c>
      <c r="M256" s="14">
        <f t="shared" si="6"/>
        <v>65</v>
      </c>
      <c r="N256" s="14">
        <v>15</v>
      </c>
      <c r="O256" s="10" t="s">
        <v>58</v>
      </c>
      <c r="P256" s="15">
        <f t="shared" si="7"/>
        <v>50</v>
      </c>
    </row>
    <row r="257" spans="1:16" x14ac:dyDescent="0.25">
      <c r="A257" s="10">
        <v>1265</v>
      </c>
      <c r="B257" s="10" t="s">
        <v>295</v>
      </c>
      <c r="C257" s="10" t="s">
        <v>44</v>
      </c>
      <c r="D257" s="11">
        <v>45968</v>
      </c>
      <c r="E257" s="12">
        <v>45968</v>
      </c>
      <c r="F257" s="13" t="s">
        <v>40</v>
      </c>
      <c r="G257" s="14">
        <v>5</v>
      </c>
      <c r="H257" s="13" t="s">
        <v>41</v>
      </c>
      <c r="I257" s="13" t="s">
        <v>45</v>
      </c>
      <c r="J257" s="14">
        <v>0</v>
      </c>
      <c r="K257" s="13" t="s">
        <v>45</v>
      </c>
      <c r="L257" s="14">
        <v>0</v>
      </c>
      <c r="M257" s="14">
        <f t="shared" si="6"/>
        <v>5</v>
      </c>
      <c r="N257" s="14">
        <v>0</v>
      </c>
      <c r="O257" s="10" t="s">
        <v>54</v>
      </c>
      <c r="P257" s="15">
        <f t="shared" si="7"/>
        <v>5</v>
      </c>
    </row>
    <row r="258" spans="1:16" x14ac:dyDescent="0.25">
      <c r="A258" s="9">
        <v>1266</v>
      </c>
      <c r="B258" s="10" t="s">
        <v>296</v>
      </c>
      <c r="C258" s="10" t="s">
        <v>39</v>
      </c>
      <c r="D258" s="11">
        <v>45969</v>
      </c>
      <c r="E258" s="12">
        <v>45969</v>
      </c>
      <c r="F258" s="13" t="s">
        <v>45</v>
      </c>
      <c r="G258" s="14">
        <v>15</v>
      </c>
      <c r="H258" s="13" t="s">
        <v>50</v>
      </c>
      <c r="I258" s="13" t="s">
        <v>40</v>
      </c>
      <c r="J258" s="14">
        <v>30</v>
      </c>
      <c r="K258" s="13" t="s">
        <v>40</v>
      </c>
      <c r="L258" s="14">
        <v>20</v>
      </c>
      <c r="M258" s="14">
        <f t="shared" si="6"/>
        <v>65</v>
      </c>
      <c r="N258" s="14">
        <v>7</v>
      </c>
      <c r="O258" s="10" t="s">
        <v>54</v>
      </c>
      <c r="P258" s="15">
        <f t="shared" si="7"/>
        <v>58</v>
      </c>
    </row>
    <row r="259" spans="1:16" x14ac:dyDescent="0.25">
      <c r="A259" s="10">
        <v>1267</v>
      </c>
      <c r="B259" s="10" t="s">
        <v>297</v>
      </c>
      <c r="C259" s="10" t="s">
        <v>49</v>
      </c>
      <c r="D259" s="11">
        <v>45970</v>
      </c>
      <c r="E259" s="12">
        <v>45970</v>
      </c>
      <c r="F259" s="13" t="s">
        <v>40</v>
      </c>
      <c r="G259" s="14">
        <v>10</v>
      </c>
      <c r="H259" s="13" t="s">
        <v>46</v>
      </c>
      <c r="I259" s="13" t="s">
        <v>45</v>
      </c>
      <c r="J259" s="14">
        <v>0</v>
      </c>
      <c r="K259" s="13" t="s">
        <v>40</v>
      </c>
      <c r="L259" s="14">
        <v>20</v>
      </c>
      <c r="M259" s="14">
        <f t="shared" ref="M259:M296" si="8">G259+J259+L259</f>
        <v>30</v>
      </c>
      <c r="N259" s="14">
        <v>10</v>
      </c>
      <c r="O259" s="10" t="s">
        <v>58</v>
      </c>
      <c r="P259" s="15">
        <f t="shared" ref="P259:P296" si="9">G259+J259+L259-N259</f>
        <v>20</v>
      </c>
    </row>
    <row r="260" spans="1:16" x14ac:dyDescent="0.25">
      <c r="A260" s="9">
        <v>1268</v>
      </c>
      <c r="B260" s="10" t="s">
        <v>298</v>
      </c>
      <c r="C260" s="10" t="s">
        <v>44</v>
      </c>
      <c r="D260" s="11">
        <v>45971</v>
      </c>
      <c r="E260" s="12">
        <v>45971</v>
      </c>
      <c r="F260" s="13" t="s">
        <v>45</v>
      </c>
      <c r="G260" s="14">
        <v>5</v>
      </c>
      <c r="H260" s="13" t="s">
        <v>50</v>
      </c>
      <c r="I260" s="13" t="s">
        <v>45</v>
      </c>
      <c r="J260" s="14">
        <v>0</v>
      </c>
      <c r="K260" s="13" t="s">
        <v>45</v>
      </c>
      <c r="L260" s="14">
        <v>0</v>
      </c>
      <c r="M260" s="14">
        <f t="shared" si="8"/>
        <v>5</v>
      </c>
      <c r="N260" s="14">
        <v>1</v>
      </c>
      <c r="O260" s="10" t="s">
        <v>51</v>
      </c>
      <c r="P260" s="15">
        <f t="shared" si="9"/>
        <v>4</v>
      </c>
    </row>
    <row r="261" spans="1:16" x14ac:dyDescent="0.25">
      <c r="A261" s="10">
        <v>1269</v>
      </c>
      <c r="B261" s="10" t="s">
        <v>299</v>
      </c>
      <c r="C261" s="10" t="s">
        <v>39</v>
      </c>
      <c r="D261" s="11">
        <v>45972</v>
      </c>
      <c r="E261" s="12">
        <v>45972</v>
      </c>
      <c r="F261" s="13" t="s">
        <v>40</v>
      </c>
      <c r="G261" s="14">
        <v>15</v>
      </c>
      <c r="H261" s="13" t="s">
        <v>41</v>
      </c>
      <c r="I261" s="13" t="s">
        <v>40</v>
      </c>
      <c r="J261" s="14">
        <v>30</v>
      </c>
      <c r="K261" s="13" t="s">
        <v>40</v>
      </c>
      <c r="L261" s="14">
        <v>20</v>
      </c>
      <c r="M261" s="14">
        <f t="shared" si="8"/>
        <v>65</v>
      </c>
      <c r="N261" s="14">
        <v>15</v>
      </c>
      <c r="O261" s="10" t="s">
        <v>42</v>
      </c>
      <c r="P261" s="15">
        <f t="shared" si="9"/>
        <v>50</v>
      </c>
    </row>
    <row r="262" spans="1:16" x14ac:dyDescent="0.25">
      <c r="A262" s="9">
        <v>1270</v>
      </c>
      <c r="B262" s="10" t="s">
        <v>300</v>
      </c>
      <c r="C262" s="10" t="s">
        <v>49</v>
      </c>
      <c r="D262" s="11">
        <v>45973</v>
      </c>
      <c r="E262" s="12">
        <v>45973</v>
      </c>
      <c r="F262" s="13" t="s">
        <v>45</v>
      </c>
      <c r="G262" s="14">
        <v>10</v>
      </c>
      <c r="H262" s="13" t="s">
        <v>41</v>
      </c>
      <c r="I262" s="13" t="s">
        <v>45</v>
      </c>
      <c r="J262" s="14">
        <v>0</v>
      </c>
      <c r="K262" s="13" t="s">
        <v>40</v>
      </c>
      <c r="L262" s="14">
        <v>20</v>
      </c>
      <c r="M262" s="14">
        <f t="shared" si="8"/>
        <v>30</v>
      </c>
      <c r="N262" s="14">
        <v>5</v>
      </c>
      <c r="O262" s="10" t="s">
        <v>54</v>
      </c>
      <c r="P262" s="15">
        <f t="shared" si="9"/>
        <v>25</v>
      </c>
    </row>
    <row r="263" spans="1:16" x14ac:dyDescent="0.25">
      <c r="A263" s="10">
        <v>1271</v>
      </c>
      <c r="B263" s="10" t="s">
        <v>301</v>
      </c>
      <c r="C263" s="10" t="s">
        <v>44</v>
      </c>
      <c r="D263" s="11">
        <v>45974</v>
      </c>
      <c r="E263" s="12">
        <v>45974</v>
      </c>
      <c r="F263" s="13" t="s">
        <v>40</v>
      </c>
      <c r="G263" s="14">
        <v>5</v>
      </c>
      <c r="H263" s="13" t="s">
        <v>46</v>
      </c>
      <c r="I263" s="13" t="s">
        <v>45</v>
      </c>
      <c r="J263" s="14">
        <v>0</v>
      </c>
      <c r="K263" s="13" t="s">
        <v>45</v>
      </c>
      <c r="L263" s="14">
        <v>0</v>
      </c>
      <c r="M263" s="14">
        <f t="shared" si="8"/>
        <v>5</v>
      </c>
      <c r="N263" s="14">
        <v>0</v>
      </c>
      <c r="O263" s="10" t="s">
        <v>51</v>
      </c>
      <c r="P263" s="15">
        <f t="shared" si="9"/>
        <v>5</v>
      </c>
    </row>
    <row r="264" spans="1:16" x14ac:dyDescent="0.25">
      <c r="A264" s="9">
        <v>1272</v>
      </c>
      <c r="B264" s="10" t="s">
        <v>302</v>
      </c>
      <c r="C264" s="10" t="s">
        <v>39</v>
      </c>
      <c r="D264" s="11">
        <v>45975</v>
      </c>
      <c r="E264" s="12">
        <v>45975</v>
      </c>
      <c r="F264" s="13" t="s">
        <v>45</v>
      </c>
      <c r="G264" s="14">
        <v>15</v>
      </c>
      <c r="H264" s="13" t="s">
        <v>50</v>
      </c>
      <c r="I264" s="13" t="s">
        <v>40</v>
      </c>
      <c r="J264" s="14">
        <v>30</v>
      </c>
      <c r="K264" s="13" t="s">
        <v>40</v>
      </c>
      <c r="L264" s="14">
        <v>20</v>
      </c>
      <c r="M264" s="14">
        <f t="shared" si="8"/>
        <v>65</v>
      </c>
      <c r="N264" s="14">
        <v>20</v>
      </c>
      <c r="O264" s="10" t="s">
        <v>42</v>
      </c>
      <c r="P264" s="15">
        <f t="shared" si="9"/>
        <v>45</v>
      </c>
    </row>
    <row r="265" spans="1:16" x14ac:dyDescent="0.25">
      <c r="A265" s="10">
        <v>1273</v>
      </c>
      <c r="B265" s="10" t="s">
        <v>303</v>
      </c>
      <c r="C265" s="10" t="s">
        <v>49</v>
      </c>
      <c r="D265" s="11">
        <v>45976</v>
      </c>
      <c r="E265" s="12">
        <v>45976</v>
      </c>
      <c r="F265" s="13" t="s">
        <v>40</v>
      </c>
      <c r="G265" s="14">
        <v>10</v>
      </c>
      <c r="H265" s="13" t="s">
        <v>50</v>
      </c>
      <c r="I265" s="13" t="s">
        <v>45</v>
      </c>
      <c r="J265" s="14">
        <v>0</v>
      </c>
      <c r="K265" s="13" t="s">
        <v>40</v>
      </c>
      <c r="L265" s="14">
        <v>20</v>
      </c>
      <c r="M265" s="14">
        <f t="shared" si="8"/>
        <v>30</v>
      </c>
      <c r="N265" s="14">
        <v>12</v>
      </c>
      <c r="O265" s="10" t="s">
        <v>58</v>
      </c>
      <c r="P265" s="15">
        <f t="shared" si="9"/>
        <v>18</v>
      </c>
    </row>
    <row r="266" spans="1:16" x14ac:dyDescent="0.25">
      <c r="A266" s="9">
        <v>1274</v>
      </c>
      <c r="B266" s="10" t="s">
        <v>304</v>
      </c>
      <c r="C266" s="10" t="s">
        <v>44</v>
      </c>
      <c r="D266" s="11">
        <v>45977</v>
      </c>
      <c r="E266" s="12">
        <v>45977</v>
      </c>
      <c r="F266" s="13" t="s">
        <v>45</v>
      </c>
      <c r="G266" s="14">
        <v>5</v>
      </c>
      <c r="H266" s="13" t="s">
        <v>41</v>
      </c>
      <c r="I266" s="13" t="s">
        <v>45</v>
      </c>
      <c r="J266" s="14">
        <v>0</v>
      </c>
      <c r="K266" s="13" t="s">
        <v>45</v>
      </c>
      <c r="L266" s="14">
        <v>0</v>
      </c>
      <c r="M266" s="14">
        <f t="shared" si="8"/>
        <v>5</v>
      </c>
      <c r="N266" s="14">
        <v>2</v>
      </c>
      <c r="O266" s="10" t="s">
        <v>58</v>
      </c>
      <c r="P266" s="15">
        <f t="shared" si="9"/>
        <v>3</v>
      </c>
    </row>
    <row r="267" spans="1:16" x14ac:dyDescent="0.25">
      <c r="A267" s="10">
        <v>1275</v>
      </c>
      <c r="B267" s="10" t="s">
        <v>305</v>
      </c>
      <c r="C267" s="10" t="s">
        <v>39</v>
      </c>
      <c r="D267" s="11">
        <v>45978</v>
      </c>
      <c r="E267" s="12">
        <v>45978</v>
      </c>
      <c r="F267" s="13" t="s">
        <v>40</v>
      </c>
      <c r="G267" s="14">
        <v>15</v>
      </c>
      <c r="H267" s="13" t="s">
        <v>46</v>
      </c>
      <c r="I267" s="13" t="s">
        <v>40</v>
      </c>
      <c r="J267" s="14">
        <v>30</v>
      </c>
      <c r="K267" s="13" t="s">
        <v>40</v>
      </c>
      <c r="L267" s="14">
        <v>20</v>
      </c>
      <c r="M267" s="14">
        <f t="shared" si="8"/>
        <v>65</v>
      </c>
      <c r="N267" s="14">
        <v>5</v>
      </c>
      <c r="O267" s="10" t="s">
        <v>42</v>
      </c>
      <c r="P267" s="15">
        <f t="shared" si="9"/>
        <v>60</v>
      </c>
    </row>
    <row r="268" spans="1:16" x14ac:dyDescent="0.25">
      <c r="A268" s="9">
        <v>1276</v>
      </c>
      <c r="B268" s="10" t="s">
        <v>306</v>
      </c>
      <c r="C268" s="10" t="s">
        <v>49</v>
      </c>
      <c r="D268" s="11">
        <v>45979</v>
      </c>
      <c r="E268" s="12">
        <v>45979</v>
      </c>
      <c r="F268" s="13" t="s">
        <v>45</v>
      </c>
      <c r="G268" s="14">
        <v>10</v>
      </c>
      <c r="H268" s="13" t="s">
        <v>41</v>
      </c>
      <c r="I268" s="13" t="s">
        <v>45</v>
      </c>
      <c r="J268" s="14">
        <v>0</v>
      </c>
      <c r="K268" s="13" t="s">
        <v>40</v>
      </c>
      <c r="L268" s="14">
        <v>20</v>
      </c>
      <c r="M268" s="14">
        <f t="shared" si="8"/>
        <v>30</v>
      </c>
      <c r="N268" s="14">
        <v>10</v>
      </c>
      <c r="O268" s="10" t="s">
        <v>58</v>
      </c>
      <c r="P268" s="15">
        <f t="shared" si="9"/>
        <v>20</v>
      </c>
    </row>
    <row r="269" spans="1:16" x14ac:dyDescent="0.25">
      <c r="A269" s="10">
        <v>1277</v>
      </c>
      <c r="B269" s="10" t="s">
        <v>307</v>
      </c>
      <c r="C269" s="10" t="s">
        <v>44</v>
      </c>
      <c r="D269" s="11">
        <v>45980</v>
      </c>
      <c r="E269" s="12">
        <v>45980</v>
      </c>
      <c r="F269" s="13" t="s">
        <v>40</v>
      </c>
      <c r="G269" s="14">
        <v>5</v>
      </c>
      <c r="H269" s="13" t="s">
        <v>50</v>
      </c>
      <c r="I269" s="13" t="s">
        <v>45</v>
      </c>
      <c r="J269" s="14">
        <v>0</v>
      </c>
      <c r="K269" s="13" t="s">
        <v>45</v>
      </c>
      <c r="L269" s="14">
        <v>0</v>
      </c>
      <c r="M269" s="14">
        <f t="shared" si="8"/>
        <v>5</v>
      </c>
      <c r="N269" s="14">
        <v>0</v>
      </c>
      <c r="O269" s="10" t="s">
        <v>51</v>
      </c>
      <c r="P269" s="15">
        <f t="shared" si="9"/>
        <v>5</v>
      </c>
    </row>
    <row r="270" spans="1:16" x14ac:dyDescent="0.25">
      <c r="A270" s="9">
        <v>1278</v>
      </c>
      <c r="B270" s="10" t="s">
        <v>308</v>
      </c>
      <c r="C270" s="10" t="s">
        <v>39</v>
      </c>
      <c r="D270" s="11">
        <v>45981</v>
      </c>
      <c r="E270" s="12">
        <v>45981</v>
      </c>
      <c r="F270" s="13" t="s">
        <v>45</v>
      </c>
      <c r="G270" s="14">
        <v>15</v>
      </c>
      <c r="H270" s="13" t="s">
        <v>41</v>
      </c>
      <c r="I270" s="13" t="s">
        <v>40</v>
      </c>
      <c r="J270" s="14">
        <v>30</v>
      </c>
      <c r="K270" s="13" t="s">
        <v>40</v>
      </c>
      <c r="L270" s="14">
        <v>20</v>
      </c>
      <c r="M270" s="14">
        <f t="shared" si="8"/>
        <v>65</v>
      </c>
      <c r="N270" s="14">
        <v>3</v>
      </c>
      <c r="O270" s="10" t="s">
        <v>58</v>
      </c>
      <c r="P270" s="15">
        <f t="shared" si="9"/>
        <v>62</v>
      </c>
    </row>
    <row r="271" spans="1:16" x14ac:dyDescent="0.25">
      <c r="A271" s="10">
        <v>1279</v>
      </c>
      <c r="B271" s="10" t="s">
        <v>309</v>
      </c>
      <c r="C271" s="10" t="s">
        <v>49</v>
      </c>
      <c r="D271" s="11">
        <v>45982</v>
      </c>
      <c r="E271" s="12">
        <v>45982</v>
      </c>
      <c r="F271" s="13" t="s">
        <v>40</v>
      </c>
      <c r="G271" s="14">
        <v>10</v>
      </c>
      <c r="H271" s="13" t="s">
        <v>46</v>
      </c>
      <c r="I271" s="13" t="s">
        <v>45</v>
      </c>
      <c r="J271" s="14">
        <v>0</v>
      </c>
      <c r="K271" s="13" t="s">
        <v>40</v>
      </c>
      <c r="L271" s="14">
        <v>20</v>
      </c>
      <c r="M271" s="14">
        <f t="shared" si="8"/>
        <v>30</v>
      </c>
      <c r="N271" s="14">
        <v>15</v>
      </c>
      <c r="O271" s="10" t="s">
        <v>58</v>
      </c>
      <c r="P271" s="15">
        <f t="shared" si="9"/>
        <v>15</v>
      </c>
    </row>
    <row r="272" spans="1:16" x14ac:dyDescent="0.25">
      <c r="A272" s="9">
        <v>1280</v>
      </c>
      <c r="B272" s="10" t="s">
        <v>310</v>
      </c>
      <c r="C272" s="10" t="s">
        <v>44</v>
      </c>
      <c r="D272" s="11">
        <v>45983</v>
      </c>
      <c r="E272" s="12">
        <v>45983</v>
      </c>
      <c r="F272" s="13" t="s">
        <v>45</v>
      </c>
      <c r="G272" s="14">
        <v>5</v>
      </c>
      <c r="H272" s="13" t="s">
        <v>41</v>
      </c>
      <c r="I272" s="13" t="s">
        <v>45</v>
      </c>
      <c r="J272" s="14">
        <v>0</v>
      </c>
      <c r="K272" s="13" t="s">
        <v>45</v>
      </c>
      <c r="L272" s="14">
        <v>0</v>
      </c>
      <c r="M272" s="14">
        <f t="shared" si="8"/>
        <v>5</v>
      </c>
      <c r="N272" s="14">
        <v>1</v>
      </c>
      <c r="O272" s="10" t="s">
        <v>54</v>
      </c>
      <c r="P272" s="15">
        <f t="shared" si="9"/>
        <v>4</v>
      </c>
    </row>
    <row r="273" spans="1:16" x14ac:dyDescent="0.25">
      <c r="A273" s="10">
        <v>1281</v>
      </c>
      <c r="B273" s="10" t="s">
        <v>311</v>
      </c>
      <c r="C273" s="10" t="s">
        <v>39</v>
      </c>
      <c r="D273" s="11">
        <v>45984</v>
      </c>
      <c r="E273" s="12">
        <v>45984</v>
      </c>
      <c r="F273" s="13" t="s">
        <v>40</v>
      </c>
      <c r="G273" s="14">
        <v>15</v>
      </c>
      <c r="H273" s="13" t="s">
        <v>50</v>
      </c>
      <c r="I273" s="13" t="s">
        <v>40</v>
      </c>
      <c r="J273" s="14">
        <v>30</v>
      </c>
      <c r="K273" s="13" t="s">
        <v>40</v>
      </c>
      <c r="L273" s="14">
        <v>20</v>
      </c>
      <c r="M273" s="14">
        <f t="shared" si="8"/>
        <v>65</v>
      </c>
      <c r="N273" s="14">
        <v>7</v>
      </c>
      <c r="O273" s="10" t="s">
        <v>58</v>
      </c>
      <c r="P273" s="15">
        <f t="shared" si="9"/>
        <v>58</v>
      </c>
    </row>
    <row r="274" spans="1:16" x14ac:dyDescent="0.25">
      <c r="A274" s="9">
        <v>1282</v>
      </c>
      <c r="B274" s="10" t="s">
        <v>170</v>
      </c>
      <c r="C274" s="10" t="s">
        <v>49</v>
      </c>
      <c r="D274" s="11">
        <v>45985</v>
      </c>
      <c r="E274" s="12">
        <v>45985</v>
      </c>
      <c r="F274" s="13" t="s">
        <v>45</v>
      </c>
      <c r="G274" s="14">
        <v>10</v>
      </c>
      <c r="H274" s="13" t="s">
        <v>41</v>
      </c>
      <c r="I274" s="13" t="s">
        <v>45</v>
      </c>
      <c r="J274" s="14">
        <v>0</v>
      </c>
      <c r="K274" s="13" t="s">
        <v>40</v>
      </c>
      <c r="L274" s="14">
        <v>20</v>
      </c>
      <c r="M274" s="14">
        <f t="shared" si="8"/>
        <v>30</v>
      </c>
      <c r="N274" s="14">
        <v>10</v>
      </c>
      <c r="O274" s="10" t="s">
        <v>54</v>
      </c>
      <c r="P274" s="15">
        <f t="shared" si="9"/>
        <v>20</v>
      </c>
    </row>
    <row r="275" spans="1:16" x14ac:dyDescent="0.25">
      <c r="A275" s="10">
        <v>1283</v>
      </c>
      <c r="B275" s="10" t="s">
        <v>312</v>
      </c>
      <c r="C275" s="10" t="s">
        <v>44</v>
      </c>
      <c r="D275" s="11">
        <v>45986</v>
      </c>
      <c r="E275" s="12">
        <v>45986</v>
      </c>
      <c r="F275" s="13" t="s">
        <v>40</v>
      </c>
      <c r="G275" s="14">
        <v>5</v>
      </c>
      <c r="H275" s="13" t="s">
        <v>46</v>
      </c>
      <c r="I275" s="13" t="s">
        <v>45</v>
      </c>
      <c r="J275" s="14">
        <v>0</v>
      </c>
      <c r="K275" s="13" t="s">
        <v>45</v>
      </c>
      <c r="L275" s="14">
        <v>0</v>
      </c>
      <c r="M275" s="14">
        <f t="shared" si="8"/>
        <v>5</v>
      </c>
      <c r="N275" s="14">
        <v>0</v>
      </c>
      <c r="O275" s="10" t="s">
        <v>47</v>
      </c>
      <c r="P275" s="15">
        <f t="shared" si="9"/>
        <v>5</v>
      </c>
    </row>
    <row r="276" spans="1:16" x14ac:dyDescent="0.25">
      <c r="A276" s="9">
        <v>1284</v>
      </c>
      <c r="B276" s="10" t="s">
        <v>313</v>
      </c>
      <c r="C276" s="10" t="s">
        <v>39</v>
      </c>
      <c r="D276" s="11">
        <v>45987</v>
      </c>
      <c r="E276" s="12">
        <v>45987</v>
      </c>
      <c r="F276" s="13" t="s">
        <v>45</v>
      </c>
      <c r="G276" s="14">
        <v>15</v>
      </c>
      <c r="H276" s="13" t="s">
        <v>41</v>
      </c>
      <c r="I276" s="13" t="s">
        <v>40</v>
      </c>
      <c r="J276" s="14">
        <v>30</v>
      </c>
      <c r="K276" s="13" t="s">
        <v>40</v>
      </c>
      <c r="L276" s="14">
        <v>20</v>
      </c>
      <c r="M276" s="14">
        <f t="shared" si="8"/>
        <v>65</v>
      </c>
      <c r="N276" s="14">
        <v>20</v>
      </c>
      <c r="O276" s="10" t="s">
        <v>47</v>
      </c>
      <c r="P276" s="15">
        <f t="shared" si="9"/>
        <v>45</v>
      </c>
    </row>
    <row r="277" spans="1:16" x14ac:dyDescent="0.25">
      <c r="A277" s="10">
        <v>1285</v>
      </c>
      <c r="B277" s="10" t="s">
        <v>314</v>
      </c>
      <c r="C277" s="10" t="s">
        <v>49</v>
      </c>
      <c r="D277" s="11">
        <v>45988</v>
      </c>
      <c r="E277" s="12">
        <v>45988</v>
      </c>
      <c r="F277" s="13" t="s">
        <v>40</v>
      </c>
      <c r="G277" s="14">
        <v>10</v>
      </c>
      <c r="H277" s="13" t="s">
        <v>50</v>
      </c>
      <c r="I277" s="13" t="s">
        <v>45</v>
      </c>
      <c r="J277" s="14">
        <v>0</v>
      </c>
      <c r="K277" s="13" t="s">
        <v>40</v>
      </c>
      <c r="L277" s="14">
        <v>20</v>
      </c>
      <c r="M277" s="14">
        <f t="shared" si="8"/>
        <v>30</v>
      </c>
      <c r="N277" s="14">
        <v>15</v>
      </c>
      <c r="O277" s="10" t="s">
        <v>47</v>
      </c>
      <c r="P277" s="15">
        <f t="shared" si="9"/>
        <v>15</v>
      </c>
    </row>
    <row r="278" spans="1:16" x14ac:dyDescent="0.25">
      <c r="A278" s="9">
        <v>1286</v>
      </c>
      <c r="B278" s="10" t="s">
        <v>315</v>
      </c>
      <c r="C278" s="10" t="s">
        <v>44</v>
      </c>
      <c r="D278" s="11">
        <v>45989</v>
      </c>
      <c r="E278" s="12">
        <v>45989</v>
      </c>
      <c r="F278" s="13" t="s">
        <v>45</v>
      </c>
      <c r="G278" s="14">
        <v>5</v>
      </c>
      <c r="H278" s="13" t="s">
        <v>41</v>
      </c>
      <c r="I278" s="13" t="s">
        <v>45</v>
      </c>
      <c r="J278" s="14">
        <v>0</v>
      </c>
      <c r="K278" s="13" t="s">
        <v>45</v>
      </c>
      <c r="L278" s="14">
        <v>0</v>
      </c>
      <c r="M278" s="14">
        <f t="shared" si="8"/>
        <v>5</v>
      </c>
      <c r="N278" s="14">
        <v>1</v>
      </c>
      <c r="O278" s="10" t="s">
        <v>42</v>
      </c>
      <c r="P278" s="15">
        <f t="shared" si="9"/>
        <v>4</v>
      </c>
    </row>
    <row r="279" spans="1:16" x14ac:dyDescent="0.25">
      <c r="A279" s="10">
        <v>1287</v>
      </c>
      <c r="B279" s="10" t="s">
        <v>316</v>
      </c>
      <c r="C279" s="10" t="s">
        <v>39</v>
      </c>
      <c r="D279" s="11">
        <v>45990</v>
      </c>
      <c r="E279" s="12">
        <v>45990</v>
      </c>
      <c r="F279" s="13" t="s">
        <v>40</v>
      </c>
      <c r="G279" s="14">
        <v>15</v>
      </c>
      <c r="H279" s="13" t="s">
        <v>46</v>
      </c>
      <c r="I279" s="13" t="s">
        <v>40</v>
      </c>
      <c r="J279" s="14">
        <v>30</v>
      </c>
      <c r="K279" s="13" t="s">
        <v>40</v>
      </c>
      <c r="L279" s="14">
        <v>20</v>
      </c>
      <c r="M279" s="14">
        <f t="shared" si="8"/>
        <v>65</v>
      </c>
      <c r="N279" s="14">
        <v>3</v>
      </c>
      <c r="O279" s="10" t="s">
        <v>54</v>
      </c>
      <c r="P279" s="15">
        <f t="shared" si="9"/>
        <v>62</v>
      </c>
    </row>
    <row r="280" spans="1:16" x14ac:dyDescent="0.25">
      <c r="A280" s="9">
        <v>1288</v>
      </c>
      <c r="B280" s="10" t="s">
        <v>317</v>
      </c>
      <c r="C280" s="10" t="s">
        <v>49</v>
      </c>
      <c r="D280" s="11">
        <v>45991</v>
      </c>
      <c r="E280" s="12">
        <v>45991</v>
      </c>
      <c r="F280" s="13" t="s">
        <v>45</v>
      </c>
      <c r="G280" s="14">
        <v>10</v>
      </c>
      <c r="H280" s="13" t="s">
        <v>41</v>
      </c>
      <c r="I280" s="13" t="s">
        <v>45</v>
      </c>
      <c r="J280" s="14">
        <v>0</v>
      </c>
      <c r="K280" s="13" t="s">
        <v>40</v>
      </c>
      <c r="L280" s="14">
        <v>20</v>
      </c>
      <c r="M280" s="14">
        <f t="shared" si="8"/>
        <v>30</v>
      </c>
      <c r="N280" s="14">
        <v>10</v>
      </c>
      <c r="O280" s="10" t="s">
        <v>47</v>
      </c>
      <c r="P280" s="15">
        <f t="shared" si="9"/>
        <v>20</v>
      </c>
    </row>
    <row r="281" spans="1:16" x14ac:dyDescent="0.25">
      <c r="A281" s="10">
        <v>1289</v>
      </c>
      <c r="B281" s="10" t="s">
        <v>318</v>
      </c>
      <c r="C281" s="10" t="s">
        <v>44</v>
      </c>
      <c r="D281" s="11">
        <v>45992</v>
      </c>
      <c r="E281" s="12">
        <v>45992</v>
      </c>
      <c r="F281" s="13" t="s">
        <v>40</v>
      </c>
      <c r="G281" s="14">
        <v>5</v>
      </c>
      <c r="H281" s="13" t="s">
        <v>50</v>
      </c>
      <c r="I281" s="13" t="s">
        <v>45</v>
      </c>
      <c r="J281" s="14">
        <v>0</v>
      </c>
      <c r="K281" s="13" t="s">
        <v>45</v>
      </c>
      <c r="L281" s="14">
        <v>0</v>
      </c>
      <c r="M281" s="14">
        <f t="shared" si="8"/>
        <v>5</v>
      </c>
      <c r="N281" s="14">
        <v>0</v>
      </c>
      <c r="O281" s="10" t="s">
        <v>42</v>
      </c>
      <c r="P281" s="15">
        <f t="shared" si="9"/>
        <v>5</v>
      </c>
    </row>
    <row r="282" spans="1:16" x14ac:dyDescent="0.25">
      <c r="A282" s="9">
        <v>1290</v>
      </c>
      <c r="B282" s="10" t="s">
        <v>319</v>
      </c>
      <c r="C282" s="10" t="s">
        <v>39</v>
      </c>
      <c r="D282" s="11">
        <v>45993</v>
      </c>
      <c r="E282" s="12">
        <v>45993</v>
      </c>
      <c r="F282" s="13" t="s">
        <v>45</v>
      </c>
      <c r="G282" s="14">
        <v>15</v>
      </c>
      <c r="H282" s="13" t="s">
        <v>41</v>
      </c>
      <c r="I282" s="13" t="s">
        <v>40</v>
      </c>
      <c r="J282" s="14">
        <v>30</v>
      </c>
      <c r="K282" s="13" t="s">
        <v>40</v>
      </c>
      <c r="L282" s="14">
        <v>20</v>
      </c>
      <c r="M282" s="14">
        <f t="shared" si="8"/>
        <v>65</v>
      </c>
      <c r="N282" s="14">
        <v>15</v>
      </c>
      <c r="O282" s="10" t="s">
        <v>58</v>
      </c>
      <c r="P282" s="15">
        <f t="shared" si="9"/>
        <v>50</v>
      </c>
    </row>
    <row r="283" spans="1:16" x14ac:dyDescent="0.25">
      <c r="A283" s="10">
        <v>1291</v>
      </c>
      <c r="B283" s="10" t="s">
        <v>320</v>
      </c>
      <c r="C283" s="10" t="s">
        <v>49</v>
      </c>
      <c r="D283" s="11">
        <v>45994</v>
      </c>
      <c r="E283" s="12">
        <v>45994</v>
      </c>
      <c r="F283" s="13" t="s">
        <v>40</v>
      </c>
      <c r="G283" s="14">
        <v>10</v>
      </c>
      <c r="H283" s="13" t="s">
        <v>46</v>
      </c>
      <c r="I283" s="13" t="s">
        <v>45</v>
      </c>
      <c r="J283" s="14">
        <v>0</v>
      </c>
      <c r="K283" s="13" t="s">
        <v>40</v>
      </c>
      <c r="L283" s="14">
        <v>20</v>
      </c>
      <c r="M283" s="14">
        <f t="shared" si="8"/>
        <v>30</v>
      </c>
      <c r="N283" s="14">
        <v>15</v>
      </c>
      <c r="O283" s="10" t="s">
        <v>51</v>
      </c>
      <c r="P283" s="15">
        <f t="shared" si="9"/>
        <v>15</v>
      </c>
    </row>
    <row r="284" spans="1:16" x14ac:dyDescent="0.25">
      <c r="A284" s="9">
        <v>1292</v>
      </c>
      <c r="B284" s="10" t="s">
        <v>321</v>
      </c>
      <c r="C284" s="10" t="s">
        <v>44</v>
      </c>
      <c r="D284" s="11">
        <v>45995</v>
      </c>
      <c r="E284" s="12">
        <v>45995</v>
      </c>
      <c r="F284" s="13" t="s">
        <v>45</v>
      </c>
      <c r="G284" s="14">
        <v>5</v>
      </c>
      <c r="H284" s="13" t="s">
        <v>41</v>
      </c>
      <c r="I284" s="13" t="s">
        <v>45</v>
      </c>
      <c r="J284" s="14">
        <v>0</v>
      </c>
      <c r="K284" s="13" t="s">
        <v>45</v>
      </c>
      <c r="L284" s="14">
        <v>0</v>
      </c>
      <c r="M284" s="14">
        <f t="shared" si="8"/>
        <v>5</v>
      </c>
      <c r="N284" s="14">
        <v>1</v>
      </c>
      <c r="O284" s="10" t="s">
        <v>47</v>
      </c>
      <c r="P284" s="15">
        <f t="shared" si="9"/>
        <v>4</v>
      </c>
    </row>
    <row r="285" spans="1:16" x14ac:dyDescent="0.25">
      <c r="A285" s="10">
        <v>1293</v>
      </c>
      <c r="B285" s="10" t="s">
        <v>322</v>
      </c>
      <c r="C285" s="10" t="s">
        <v>39</v>
      </c>
      <c r="D285" s="11">
        <v>45996</v>
      </c>
      <c r="E285" s="12">
        <v>45996</v>
      </c>
      <c r="F285" s="13" t="s">
        <v>40</v>
      </c>
      <c r="G285" s="14">
        <v>15</v>
      </c>
      <c r="H285" s="13" t="s">
        <v>50</v>
      </c>
      <c r="I285" s="13" t="s">
        <v>40</v>
      </c>
      <c r="J285" s="14">
        <v>30</v>
      </c>
      <c r="K285" s="13" t="s">
        <v>40</v>
      </c>
      <c r="L285" s="14">
        <v>20</v>
      </c>
      <c r="M285" s="14">
        <f t="shared" si="8"/>
        <v>65</v>
      </c>
      <c r="N285" s="14">
        <v>7</v>
      </c>
      <c r="O285" s="10" t="s">
        <v>54</v>
      </c>
      <c r="P285" s="15">
        <f t="shared" si="9"/>
        <v>58</v>
      </c>
    </row>
    <row r="286" spans="1:16" x14ac:dyDescent="0.25">
      <c r="A286" s="9">
        <v>1294</v>
      </c>
      <c r="B286" s="10" t="s">
        <v>181</v>
      </c>
      <c r="C286" s="10" t="s">
        <v>49</v>
      </c>
      <c r="D286" s="11">
        <v>45997</v>
      </c>
      <c r="E286" s="12">
        <v>45997</v>
      </c>
      <c r="F286" s="13" t="s">
        <v>45</v>
      </c>
      <c r="G286" s="14">
        <v>10</v>
      </c>
      <c r="H286" s="13" t="s">
        <v>41</v>
      </c>
      <c r="I286" s="13" t="s">
        <v>45</v>
      </c>
      <c r="J286" s="14">
        <v>0</v>
      </c>
      <c r="K286" s="13" t="s">
        <v>40</v>
      </c>
      <c r="L286" s="14">
        <v>20</v>
      </c>
      <c r="M286" s="14">
        <f t="shared" si="8"/>
        <v>30</v>
      </c>
      <c r="N286" s="14">
        <v>10</v>
      </c>
      <c r="O286" s="10" t="s">
        <v>42</v>
      </c>
      <c r="P286" s="15">
        <f t="shared" si="9"/>
        <v>20</v>
      </c>
    </row>
    <row r="287" spans="1:16" x14ac:dyDescent="0.25">
      <c r="A287" s="10">
        <v>1295</v>
      </c>
      <c r="B287" s="10" t="s">
        <v>182</v>
      </c>
      <c r="C287" s="10" t="s">
        <v>44</v>
      </c>
      <c r="D287" s="11">
        <v>45998</v>
      </c>
      <c r="E287" s="12">
        <v>45998</v>
      </c>
      <c r="F287" s="13" t="s">
        <v>40</v>
      </c>
      <c r="G287" s="14">
        <v>5</v>
      </c>
      <c r="H287" s="13" t="s">
        <v>46</v>
      </c>
      <c r="I287" s="13" t="s">
        <v>45</v>
      </c>
      <c r="J287" s="14">
        <v>0</v>
      </c>
      <c r="K287" s="13" t="s">
        <v>45</v>
      </c>
      <c r="L287" s="14">
        <v>0</v>
      </c>
      <c r="M287" s="14">
        <f t="shared" si="8"/>
        <v>5</v>
      </c>
      <c r="N287" s="14">
        <v>0</v>
      </c>
      <c r="O287" s="10" t="s">
        <v>42</v>
      </c>
      <c r="P287" s="15">
        <f t="shared" si="9"/>
        <v>5</v>
      </c>
    </row>
    <row r="288" spans="1:16" x14ac:dyDescent="0.25">
      <c r="A288" s="9">
        <v>1296</v>
      </c>
      <c r="B288" s="10" t="s">
        <v>232</v>
      </c>
      <c r="C288" s="10" t="s">
        <v>39</v>
      </c>
      <c r="D288" s="11">
        <v>45999</v>
      </c>
      <c r="E288" s="12">
        <v>45999</v>
      </c>
      <c r="F288" s="13" t="s">
        <v>45</v>
      </c>
      <c r="G288" s="14">
        <v>15</v>
      </c>
      <c r="H288" s="13" t="s">
        <v>41</v>
      </c>
      <c r="I288" s="13" t="s">
        <v>40</v>
      </c>
      <c r="J288" s="14">
        <v>30</v>
      </c>
      <c r="K288" s="13" t="s">
        <v>40</v>
      </c>
      <c r="L288" s="14">
        <v>20</v>
      </c>
      <c r="M288" s="14">
        <f t="shared" si="8"/>
        <v>65</v>
      </c>
      <c r="N288" s="14">
        <v>20</v>
      </c>
      <c r="O288" s="10" t="s">
        <v>51</v>
      </c>
      <c r="P288" s="15">
        <f t="shared" si="9"/>
        <v>45</v>
      </c>
    </row>
    <row r="289" spans="1:16" x14ac:dyDescent="0.25">
      <c r="A289" s="10">
        <v>1297</v>
      </c>
      <c r="B289" s="10" t="s">
        <v>323</v>
      </c>
      <c r="C289" s="10" t="s">
        <v>49</v>
      </c>
      <c r="D289" s="11">
        <v>46000</v>
      </c>
      <c r="E289" s="12">
        <v>46000</v>
      </c>
      <c r="F289" s="13" t="s">
        <v>40</v>
      </c>
      <c r="G289" s="14">
        <v>10</v>
      </c>
      <c r="H289" s="13" t="s">
        <v>50</v>
      </c>
      <c r="I289" s="13" t="s">
        <v>45</v>
      </c>
      <c r="J289" s="14">
        <v>0</v>
      </c>
      <c r="K289" s="13" t="s">
        <v>40</v>
      </c>
      <c r="L289" s="14">
        <v>20</v>
      </c>
      <c r="M289" s="14">
        <f t="shared" si="8"/>
        <v>30</v>
      </c>
      <c r="N289" s="14">
        <v>12</v>
      </c>
      <c r="O289" s="10" t="s">
        <v>47</v>
      </c>
      <c r="P289" s="15">
        <f t="shared" si="9"/>
        <v>18</v>
      </c>
    </row>
    <row r="290" spans="1:16" x14ac:dyDescent="0.25">
      <c r="A290" s="9">
        <v>1298</v>
      </c>
      <c r="B290" s="10" t="s">
        <v>324</v>
      </c>
      <c r="C290" s="10" t="s">
        <v>44</v>
      </c>
      <c r="D290" s="11">
        <v>46001</v>
      </c>
      <c r="E290" s="12">
        <v>46001</v>
      </c>
      <c r="F290" s="13" t="s">
        <v>45</v>
      </c>
      <c r="G290" s="14">
        <v>5</v>
      </c>
      <c r="H290" s="13" t="s">
        <v>41</v>
      </c>
      <c r="I290" s="13" t="s">
        <v>45</v>
      </c>
      <c r="J290" s="14">
        <v>0</v>
      </c>
      <c r="K290" s="13" t="s">
        <v>45</v>
      </c>
      <c r="L290" s="14">
        <v>0</v>
      </c>
      <c r="M290" s="14">
        <f t="shared" si="8"/>
        <v>5</v>
      </c>
      <c r="N290" s="14">
        <v>2</v>
      </c>
      <c r="O290" s="10" t="s">
        <v>42</v>
      </c>
      <c r="P290" s="15">
        <f t="shared" si="9"/>
        <v>3</v>
      </c>
    </row>
    <row r="291" spans="1:16" x14ac:dyDescent="0.25">
      <c r="A291" s="10">
        <v>1299</v>
      </c>
      <c r="B291" s="10" t="s">
        <v>325</v>
      </c>
      <c r="C291" s="10" t="s">
        <v>39</v>
      </c>
      <c r="D291" s="11">
        <v>46002</v>
      </c>
      <c r="E291" s="12">
        <v>46002</v>
      </c>
      <c r="F291" s="13" t="s">
        <v>40</v>
      </c>
      <c r="G291" s="14">
        <v>15</v>
      </c>
      <c r="H291" s="13" t="s">
        <v>46</v>
      </c>
      <c r="I291" s="13" t="s">
        <v>40</v>
      </c>
      <c r="J291" s="14">
        <v>30</v>
      </c>
      <c r="K291" s="13" t="s">
        <v>40</v>
      </c>
      <c r="L291" s="14">
        <v>20</v>
      </c>
      <c r="M291" s="14">
        <f t="shared" si="8"/>
        <v>65</v>
      </c>
      <c r="N291" s="14">
        <v>5</v>
      </c>
      <c r="O291" s="10" t="s">
        <v>58</v>
      </c>
      <c r="P291" s="15">
        <f t="shared" si="9"/>
        <v>60</v>
      </c>
    </row>
    <row r="292" spans="1:16" x14ac:dyDescent="0.25">
      <c r="A292" s="9">
        <v>1300</v>
      </c>
      <c r="B292" s="10" t="s">
        <v>326</v>
      </c>
      <c r="C292" s="10" t="s">
        <v>49</v>
      </c>
      <c r="D292" s="11">
        <v>46003</v>
      </c>
      <c r="E292" s="12">
        <v>46003</v>
      </c>
      <c r="F292" s="13" t="s">
        <v>45</v>
      </c>
      <c r="G292" s="14">
        <v>10</v>
      </c>
      <c r="H292" s="13" t="s">
        <v>41</v>
      </c>
      <c r="I292" s="13" t="s">
        <v>45</v>
      </c>
      <c r="J292" s="14">
        <v>0</v>
      </c>
      <c r="K292" s="13" t="s">
        <v>40</v>
      </c>
      <c r="L292" s="14">
        <v>20</v>
      </c>
      <c r="M292" s="14">
        <f t="shared" si="8"/>
        <v>30</v>
      </c>
      <c r="N292" s="14">
        <v>10</v>
      </c>
      <c r="O292" s="10" t="s">
        <v>58</v>
      </c>
      <c r="P292" s="15">
        <f t="shared" si="9"/>
        <v>20</v>
      </c>
    </row>
    <row r="293" spans="1:16" x14ac:dyDescent="0.25">
      <c r="A293" s="10">
        <v>1301</v>
      </c>
      <c r="B293" s="10" t="s">
        <v>327</v>
      </c>
      <c r="C293" s="10" t="s">
        <v>44</v>
      </c>
      <c r="D293" s="11">
        <v>46004</v>
      </c>
      <c r="E293" s="12">
        <v>46004</v>
      </c>
      <c r="F293" s="13" t="s">
        <v>40</v>
      </c>
      <c r="G293" s="14">
        <v>5</v>
      </c>
      <c r="H293" s="13" t="s">
        <v>50</v>
      </c>
      <c r="I293" s="13" t="s">
        <v>45</v>
      </c>
      <c r="J293" s="14">
        <v>0</v>
      </c>
      <c r="K293" s="13" t="s">
        <v>45</v>
      </c>
      <c r="L293" s="14">
        <v>0</v>
      </c>
      <c r="M293" s="14">
        <f t="shared" si="8"/>
        <v>5</v>
      </c>
      <c r="N293" s="14">
        <v>0</v>
      </c>
      <c r="O293" s="10" t="s">
        <v>58</v>
      </c>
      <c r="P293" s="15">
        <f t="shared" si="9"/>
        <v>5</v>
      </c>
    </row>
    <row r="294" spans="1:16" x14ac:dyDescent="0.25">
      <c r="A294" s="9">
        <v>1302</v>
      </c>
      <c r="B294" s="10" t="s">
        <v>328</v>
      </c>
      <c r="C294" s="10" t="s">
        <v>39</v>
      </c>
      <c r="D294" s="11">
        <v>46005</v>
      </c>
      <c r="E294" s="12">
        <v>46005</v>
      </c>
      <c r="F294" s="13" t="s">
        <v>45</v>
      </c>
      <c r="G294" s="14">
        <v>15</v>
      </c>
      <c r="H294" s="13" t="s">
        <v>41</v>
      </c>
      <c r="I294" s="13" t="s">
        <v>40</v>
      </c>
      <c r="J294" s="14">
        <v>30</v>
      </c>
      <c r="K294" s="13" t="s">
        <v>40</v>
      </c>
      <c r="L294" s="14">
        <v>20</v>
      </c>
      <c r="M294" s="14">
        <f t="shared" si="8"/>
        <v>65</v>
      </c>
      <c r="N294" s="14">
        <v>3</v>
      </c>
      <c r="O294" s="10" t="s">
        <v>42</v>
      </c>
      <c r="P294" s="15">
        <f t="shared" si="9"/>
        <v>62</v>
      </c>
    </row>
    <row r="295" spans="1:16" x14ac:dyDescent="0.25">
      <c r="A295" s="10">
        <v>1303</v>
      </c>
      <c r="B295" s="10" t="s">
        <v>329</v>
      </c>
      <c r="C295" s="10" t="s">
        <v>49</v>
      </c>
      <c r="D295" s="11">
        <v>46006</v>
      </c>
      <c r="E295" s="12">
        <v>46006</v>
      </c>
      <c r="F295" s="13" t="s">
        <v>40</v>
      </c>
      <c r="G295" s="14">
        <v>10</v>
      </c>
      <c r="H295" s="13" t="s">
        <v>46</v>
      </c>
      <c r="I295" s="13" t="s">
        <v>45</v>
      </c>
      <c r="J295" s="14">
        <v>0</v>
      </c>
      <c r="K295" s="13" t="s">
        <v>40</v>
      </c>
      <c r="L295" s="14">
        <v>20</v>
      </c>
      <c r="M295" s="14">
        <f t="shared" si="8"/>
        <v>30</v>
      </c>
      <c r="N295" s="14">
        <v>15</v>
      </c>
      <c r="O295" s="10" t="s">
        <v>54</v>
      </c>
      <c r="P295" s="15">
        <f t="shared" si="9"/>
        <v>15</v>
      </c>
    </row>
    <row r="296" spans="1:16" x14ac:dyDescent="0.25">
      <c r="A296" s="9">
        <v>1304</v>
      </c>
      <c r="B296" s="10" t="s">
        <v>330</v>
      </c>
      <c r="C296" s="10" t="s">
        <v>44</v>
      </c>
      <c r="D296" s="11">
        <v>46007</v>
      </c>
      <c r="E296" s="12">
        <v>46007</v>
      </c>
      <c r="F296" s="13" t="s">
        <v>45</v>
      </c>
      <c r="G296" s="14">
        <v>5</v>
      </c>
      <c r="H296" s="13" t="s">
        <v>41</v>
      </c>
      <c r="I296" s="13" t="s">
        <v>45</v>
      </c>
      <c r="J296" s="14">
        <v>0</v>
      </c>
      <c r="K296" s="13" t="s">
        <v>45</v>
      </c>
      <c r="L296" s="14">
        <v>0</v>
      </c>
      <c r="M296" s="14">
        <f t="shared" si="8"/>
        <v>5</v>
      </c>
      <c r="N296" s="14">
        <v>1</v>
      </c>
      <c r="O296" s="10" t="s">
        <v>42</v>
      </c>
      <c r="P296" s="15">
        <f t="shared" si="9"/>
        <v>4</v>
      </c>
    </row>
  </sheetData>
  <autoFilter ref="A1:P296" xr:uid="{37148BA6-451D-4F8E-B928-E953D348B40E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A33F9-D292-4AB3-B104-99F237D5D85F}">
  <sheetPr>
    <tabColor theme="9" tint="0.59999389629810485"/>
  </sheetPr>
  <dimension ref="B3:B23"/>
  <sheetViews>
    <sheetView workbookViewId="0">
      <selection activeCell="H28" sqref="H28"/>
    </sheetView>
  </sheetViews>
  <sheetFormatPr defaultRowHeight="15" x14ac:dyDescent="0.25"/>
  <sheetData>
    <row r="3" spans="2:2" ht="18" x14ac:dyDescent="0.25">
      <c r="B3" s="26" t="s">
        <v>357</v>
      </c>
    </row>
    <row r="5" spans="2:2" ht="18" x14ac:dyDescent="0.25">
      <c r="B5" s="26" t="s">
        <v>358</v>
      </c>
    </row>
    <row r="7" spans="2:2" ht="18" x14ac:dyDescent="0.25">
      <c r="B7" s="26" t="s">
        <v>359</v>
      </c>
    </row>
    <row r="9" spans="2:2" ht="18" x14ac:dyDescent="0.25">
      <c r="B9" s="26" t="s">
        <v>360</v>
      </c>
    </row>
    <row r="11" spans="2:2" ht="18" x14ac:dyDescent="0.25">
      <c r="B11" s="26" t="s">
        <v>361</v>
      </c>
    </row>
    <row r="13" spans="2:2" ht="18" x14ac:dyDescent="0.25">
      <c r="B13" s="26" t="s">
        <v>362</v>
      </c>
    </row>
    <row r="15" spans="2:2" ht="18" x14ac:dyDescent="0.25">
      <c r="B15" s="26" t="s">
        <v>363</v>
      </c>
    </row>
    <row r="17" spans="2:2" ht="18" x14ac:dyDescent="0.25">
      <c r="B17" s="26" t="s">
        <v>364</v>
      </c>
    </row>
    <row r="19" spans="2:2" ht="18" x14ac:dyDescent="0.25">
      <c r="B19" s="26" t="s">
        <v>365</v>
      </c>
    </row>
    <row r="21" spans="2:2" ht="18" x14ac:dyDescent="0.25">
      <c r="B21" s="26" t="s">
        <v>366</v>
      </c>
    </row>
    <row r="23" spans="2:2" ht="18" x14ac:dyDescent="0.25">
      <c r="B23" s="26" t="s">
        <v>367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92CC9-CD88-4749-BAE7-B2D27EC897EB}">
  <sheetPr>
    <tabColor theme="6" tint="0.39997558519241921"/>
  </sheetPr>
  <dimension ref="B3:N34"/>
  <sheetViews>
    <sheetView showGridLines="0" workbookViewId="0">
      <selection activeCell="K28" sqref="K28"/>
    </sheetView>
  </sheetViews>
  <sheetFormatPr defaultRowHeight="15" x14ac:dyDescent="0.25"/>
  <cols>
    <col min="2" max="2" width="18.42578125" bestFit="1" customWidth="1"/>
    <col min="3" max="3" width="26.140625" bestFit="1" customWidth="1"/>
    <col min="5" max="6" width="18.42578125" bestFit="1" customWidth="1"/>
    <col min="7" max="7" width="19.28515625" bestFit="1" customWidth="1"/>
    <col min="8" max="8" width="22.140625" bestFit="1" customWidth="1"/>
    <col min="10" max="10" width="18.42578125" bestFit="1" customWidth="1"/>
    <col min="11" max="11" width="26.140625" bestFit="1" customWidth="1"/>
    <col min="13" max="13" width="18.42578125" bestFit="1" customWidth="1"/>
    <col min="14" max="14" width="26.140625" bestFit="1" customWidth="1"/>
  </cols>
  <sheetData>
    <row r="3" spans="2:14" x14ac:dyDescent="0.25">
      <c r="B3" s="16" t="s">
        <v>30</v>
      </c>
      <c r="C3" t="s">
        <v>331</v>
      </c>
      <c r="F3" s="20">
        <f>GETPIVOTDATA("Subscriber ID",$F$5)/295</f>
        <v>1</v>
      </c>
      <c r="M3" s="16" t="s">
        <v>30</v>
      </c>
      <c r="N3" t="s">
        <v>331</v>
      </c>
    </row>
    <row r="4" spans="2:14" x14ac:dyDescent="0.25">
      <c r="E4" s="20"/>
    </row>
    <row r="5" spans="2:14" x14ac:dyDescent="0.25">
      <c r="B5" s="16" t="s">
        <v>332</v>
      </c>
      <c r="C5" t="s">
        <v>347</v>
      </c>
      <c r="D5" s="20">
        <f>GETPIVOTDATA("Subscriber ID",$B$5,"Auto Renewal","Yes")/GETPIVOTDATA("Subscriber ID",$B$5)</f>
        <v>0.50169491525423726</v>
      </c>
      <c r="F5" s="16" t="s">
        <v>332</v>
      </c>
      <c r="G5" t="s">
        <v>347</v>
      </c>
      <c r="J5" s="16" t="s">
        <v>30</v>
      </c>
      <c r="K5" t="s">
        <v>331</v>
      </c>
      <c r="M5" s="16" t="s">
        <v>332</v>
      </c>
      <c r="N5" t="s">
        <v>347</v>
      </c>
    </row>
    <row r="6" spans="2:14" x14ac:dyDescent="0.25">
      <c r="B6" s="17" t="s">
        <v>45</v>
      </c>
      <c r="C6" s="27">
        <v>147</v>
      </c>
      <c r="D6">
        <f>GETPIVOTDATA("Subscriber ID",$B$5)</f>
        <v>295</v>
      </c>
      <c r="F6" s="17" t="s">
        <v>46</v>
      </c>
      <c r="G6" s="27">
        <v>71</v>
      </c>
      <c r="M6" s="17" t="s">
        <v>45</v>
      </c>
      <c r="N6" s="27">
        <v>197</v>
      </c>
    </row>
    <row r="7" spans="2:14" x14ac:dyDescent="0.25">
      <c r="B7" s="17" t="s">
        <v>40</v>
      </c>
      <c r="C7" s="27">
        <v>148</v>
      </c>
      <c r="F7" s="17" t="s">
        <v>41</v>
      </c>
      <c r="G7" s="27">
        <v>139</v>
      </c>
      <c r="J7" s="16" t="s">
        <v>332</v>
      </c>
      <c r="K7" t="s">
        <v>334</v>
      </c>
      <c r="M7" s="17" t="s">
        <v>40</v>
      </c>
      <c r="N7" s="27">
        <v>98</v>
      </c>
    </row>
    <row r="8" spans="2:14" x14ac:dyDescent="0.25">
      <c r="B8" s="17" t="s">
        <v>333</v>
      </c>
      <c r="C8" s="27">
        <v>295</v>
      </c>
      <c r="F8" s="17" t="s">
        <v>50</v>
      </c>
      <c r="G8" s="27">
        <v>85</v>
      </c>
      <c r="J8" s="17" t="s">
        <v>44</v>
      </c>
      <c r="K8" s="18">
        <v>444</v>
      </c>
      <c r="M8" s="17" t="s">
        <v>333</v>
      </c>
      <c r="N8" s="27">
        <v>295</v>
      </c>
    </row>
    <row r="9" spans="2:14" x14ac:dyDescent="0.25">
      <c r="F9" s="17" t="s">
        <v>333</v>
      </c>
      <c r="G9" s="27">
        <v>295</v>
      </c>
      <c r="J9" s="17" t="s">
        <v>49</v>
      </c>
      <c r="K9" s="18">
        <v>1801</v>
      </c>
      <c r="M9" s="17" t="s">
        <v>354</v>
      </c>
      <c r="N9" s="20">
        <f>GETPIVOTDATA("Subscriber ID",$M$5,"EA Play Season Pass","Yes")/GETPIVOTDATA("Subscriber ID",$M$5)</f>
        <v>0.33220338983050846</v>
      </c>
    </row>
    <row r="10" spans="2:14" x14ac:dyDescent="0.25">
      <c r="B10" s="16" t="s">
        <v>30</v>
      </c>
      <c r="C10" t="s">
        <v>331</v>
      </c>
      <c r="F10" s="16" t="s">
        <v>30</v>
      </c>
      <c r="G10" t="s">
        <v>331</v>
      </c>
      <c r="J10" s="17" t="s">
        <v>39</v>
      </c>
      <c r="K10" s="18">
        <v>5388</v>
      </c>
      <c r="M10" s="17" t="s">
        <v>355</v>
      </c>
      <c r="N10">
        <f>GETPIVOTDATA("Subscriber ID",$M$5,"EA Play Season Pass","Yes")</f>
        <v>98</v>
      </c>
    </row>
    <row r="11" spans="2:14" x14ac:dyDescent="0.25">
      <c r="J11" s="17" t="s">
        <v>333</v>
      </c>
      <c r="K11" s="18">
        <v>7633</v>
      </c>
    </row>
    <row r="12" spans="2:14" x14ac:dyDescent="0.25">
      <c r="B12" s="16" t="s">
        <v>332</v>
      </c>
      <c r="C12" t="s">
        <v>334</v>
      </c>
      <c r="F12" s="16" t="s">
        <v>332</v>
      </c>
      <c r="G12" t="s">
        <v>334</v>
      </c>
      <c r="H12" t="s">
        <v>349</v>
      </c>
      <c r="J12" s="17" t="s">
        <v>44</v>
      </c>
      <c r="K12" s="23">
        <f>GETPIVOTDATA("Total Value",$J$7,"Plan","Core")</f>
        <v>444</v>
      </c>
    </row>
    <row r="13" spans="2:14" x14ac:dyDescent="0.25">
      <c r="B13" s="17" t="s">
        <v>335</v>
      </c>
      <c r="C13" s="18">
        <v>65</v>
      </c>
      <c r="F13" s="17" t="s">
        <v>45</v>
      </c>
      <c r="G13" s="18">
        <v>3847</v>
      </c>
      <c r="H13" s="18">
        <v>1063</v>
      </c>
      <c r="J13" s="17" t="s">
        <v>49</v>
      </c>
      <c r="K13" s="23">
        <f>GETPIVOTDATA("Total Value",$J$7,"Plan","Standard")</f>
        <v>1801</v>
      </c>
    </row>
    <row r="14" spans="2:14" x14ac:dyDescent="0.25">
      <c r="B14" s="17" t="s">
        <v>336</v>
      </c>
      <c r="C14" s="18">
        <v>82</v>
      </c>
      <c r="F14" s="17" t="s">
        <v>40</v>
      </c>
      <c r="G14" s="18">
        <v>3786</v>
      </c>
      <c r="H14" s="18">
        <v>1059</v>
      </c>
      <c r="J14" s="17" t="s">
        <v>39</v>
      </c>
      <c r="K14" s="23">
        <f>GETPIVOTDATA("Total Value",$J$7,"Plan","Ultimate")</f>
        <v>5388</v>
      </c>
    </row>
    <row r="15" spans="2:14" x14ac:dyDescent="0.25">
      <c r="B15" s="17" t="s">
        <v>337</v>
      </c>
      <c r="C15" s="18">
        <v>801</v>
      </c>
      <c r="F15" s="17" t="s">
        <v>333</v>
      </c>
      <c r="G15" s="18">
        <v>7633</v>
      </c>
      <c r="H15" s="18">
        <v>2122</v>
      </c>
      <c r="K15" s="21"/>
      <c r="M15" s="16" t="s">
        <v>30</v>
      </c>
      <c r="N15" t="s">
        <v>331</v>
      </c>
    </row>
    <row r="16" spans="2:14" x14ac:dyDescent="0.25">
      <c r="B16" s="17" t="s">
        <v>338</v>
      </c>
      <c r="C16" s="18">
        <v>782</v>
      </c>
      <c r="F16" s="17" t="s">
        <v>350</v>
      </c>
      <c r="G16" s="18">
        <f>GETPIVOTDATA("Soma de Total Value",$F$12)+GETPIVOTDATA("Soma de Coupon Value",$F$12)</f>
        <v>9755</v>
      </c>
      <c r="H16" s="18">
        <v>9755</v>
      </c>
    </row>
    <row r="17" spans="2:14" x14ac:dyDescent="0.25">
      <c r="B17" s="17" t="s">
        <v>339</v>
      </c>
      <c r="C17" s="18">
        <v>777</v>
      </c>
      <c r="F17" s="17" t="s">
        <v>351</v>
      </c>
      <c r="G17" s="20">
        <f>G16/H16</f>
        <v>1</v>
      </c>
      <c r="M17" s="16" t="s">
        <v>332</v>
      </c>
      <c r="N17" t="s">
        <v>347</v>
      </c>
    </row>
    <row r="18" spans="2:14" x14ac:dyDescent="0.25">
      <c r="B18" s="17" t="s">
        <v>340</v>
      </c>
      <c r="C18" s="18">
        <v>770</v>
      </c>
      <c r="F18" s="17" t="s">
        <v>352</v>
      </c>
      <c r="G18" s="18">
        <f>GETPIVOTDATA("Soma de Coupon Value",$F$12)</f>
        <v>2122</v>
      </c>
      <c r="M18" s="17" t="s">
        <v>45</v>
      </c>
      <c r="N18" s="27">
        <v>101</v>
      </c>
    </row>
    <row r="19" spans="2:14" x14ac:dyDescent="0.25">
      <c r="B19" s="17" t="s">
        <v>341</v>
      </c>
      <c r="C19" s="18">
        <v>784</v>
      </c>
      <c r="F19" s="17" t="s">
        <v>353</v>
      </c>
      <c r="G19" s="18">
        <f>GETPIVOTDATA("Soma de Total Value",$F$12)</f>
        <v>7633</v>
      </c>
      <c r="J19" s="16" t="s">
        <v>332</v>
      </c>
      <c r="K19" t="s">
        <v>347</v>
      </c>
      <c r="M19" s="17" t="s">
        <v>40</v>
      </c>
      <c r="N19" s="27">
        <v>194</v>
      </c>
    </row>
    <row r="20" spans="2:14" x14ac:dyDescent="0.25">
      <c r="B20" s="17" t="s">
        <v>342</v>
      </c>
      <c r="C20" s="18">
        <v>787</v>
      </c>
      <c r="J20" s="17" t="s">
        <v>46</v>
      </c>
      <c r="K20" s="27">
        <v>71</v>
      </c>
      <c r="L20" s="24">
        <f>IFERROR(GETPIVOTDATA("Subscriber ID",$J$19,"Subscription Type","Annual"),0)</f>
        <v>71</v>
      </c>
      <c r="M20" s="17" t="s">
        <v>333</v>
      </c>
      <c r="N20" s="27">
        <v>295</v>
      </c>
    </row>
    <row r="21" spans="2:14" x14ac:dyDescent="0.25">
      <c r="B21" s="17" t="s">
        <v>343</v>
      </c>
      <c r="C21" s="18">
        <v>780</v>
      </c>
      <c r="J21" s="17" t="s">
        <v>41</v>
      </c>
      <c r="K21" s="27">
        <v>139</v>
      </c>
      <c r="L21" s="24">
        <f>IFERROR(GETPIVOTDATA("Subscriber ID",$J$19,"Subscription Type","Monthly"),0)</f>
        <v>139</v>
      </c>
      <c r="M21" s="17" t="s">
        <v>354</v>
      </c>
      <c r="N21" s="20">
        <f>GETPIVOTDATA("Subscriber ID",$M$17,"Minecraft Season Pass","Yes")/GETPIVOTDATA("Subscriber ID",$M$17)</f>
        <v>0.65762711864406775</v>
      </c>
    </row>
    <row r="22" spans="2:14" x14ac:dyDescent="0.25">
      <c r="B22" s="17" t="s">
        <v>344</v>
      </c>
      <c r="C22" s="18">
        <v>832</v>
      </c>
      <c r="J22" s="17" t="s">
        <v>50</v>
      </c>
      <c r="K22" s="27">
        <v>85</v>
      </c>
      <c r="L22" s="24">
        <f>IFERROR(GETPIVOTDATA("Subscriber ID",$J$19,"Subscription Type","Quarterly"),0)</f>
        <v>85</v>
      </c>
      <c r="M22" s="17" t="s">
        <v>355</v>
      </c>
      <c r="N22">
        <f>GETPIVOTDATA("Subscriber ID",$M$17,"Minecraft Season Pass","Yes")</f>
        <v>194</v>
      </c>
    </row>
    <row r="23" spans="2:14" x14ac:dyDescent="0.25">
      <c r="B23" s="17" t="s">
        <v>345</v>
      </c>
      <c r="C23" s="18">
        <v>784</v>
      </c>
      <c r="J23" s="17" t="s">
        <v>333</v>
      </c>
      <c r="K23" s="27">
        <v>295</v>
      </c>
    </row>
    <row r="24" spans="2:14" x14ac:dyDescent="0.25">
      <c r="B24" s="17" t="s">
        <v>346</v>
      </c>
      <c r="C24" s="18">
        <v>389</v>
      </c>
      <c r="F24" s="16" t="s">
        <v>30</v>
      </c>
      <c r="G24" t="s">
        <v>331</v>
      </c>
      <c r="J24" s="17" t="s">
        <v>46</v>
      </c>
      <c r="K24" s="20">
        <f>IFERROR(GETPIVOTDATA("Subscriber ID",$J$19,"Subscription Type","Annual")/GETPIVOTDATA("Subscriber ID",$J$19),"")</f>
        <v>0.24067796610169492</v>
      </c>
    </row>
    <row r="25" spans="2:14" x14ac:dyDescent="0.25">
      <c r="B25" s="17" t="s">
        <v>333</v>
      </c>
      <c r="C25" s="18">
        <v>7633</v>
      </c>
      <c r="J25" s="17" t="s">
        <v>41</v>
      </c>
      <c r="K25" s="20">
        <f>IFERROR(GETPIVOTDATA("Subscriber ID",$J$19,"Subscription Type","Monthly")/GETPIVOTDATA("Subscriber ID",$J$19),"")</f>
        <v>0.47118644067796611</v>
      </c>
    </row>
    <row r="26" spans="2:14" x14ac:dyDescent="0.25">
      <c r="F26" s="16" t="s">
        <v>332</v>
      </c>
      <c r="G26" t="s">
        <v>334</v>
      </c>
      <c r="J26" s="17" t="s">
        <v>50</v>
      </c>
      <c r="K26" s="20">
        <f>IFERROR(GETPIVOTDATA("Subscriber ID",$J$19,"Subscription Type","Quarterly")/GETPIVOTDATA("Subscriber ID",$J$19),"")</f>
        <v>0.28813559322033899</v>
      </c>
    </row>
    <row r="27" spans="2:14" x14ac:dyDescent="0.25">
      <c r="B27" s="16" t="s">
        <v>30</v>
      </c>
      <c r="C27" t="s">
        <v>331</v>
      </c>
      <c r="F27" s="17" t="s">
        <v>47</v>
      </c>
      <c r="G27" s="18">
        <v>1294</v>
      </c>
    </row>
    <row r="28" spans="2:14" x14ac:dyDescent="0.25">
      <c r="F28" s="17" t="s">
        <v>42</v>
      </c>
      <c r="G28" s="18">
        <v>1543</v>
      </c>
      <c r="J28" s="17" t="s">
        <v>356</v>
      </c>
      <c r="K28" s="18">
        <f>GETPIVOTDATA("Soma de Total Value",$F$12)/GETPIVOTDATA("Subscriber ID",$J$19)</f>
        <v>25.874576271186442</v>
      </c>
    </row>
    <row r="29" spans="2:14" x14ac:dyDescent="0.25">
      <c r="B29" s="16" t="s">
        <v>332</v>
      </c>
      <c r="C29" t="s">
        <v>347</v>
      </c>
      <c r="F29" s="17" t="s">
        <v>54</v>
      </c>
      <c r="G29" s="18">
        <v>949</v>
      </c>
    </row>
    <row r="30" spans="2:14" x14ac:dyDescent="0.25">
      <c r="B30" s="17" t="s">
        <v>44</v>
      </c>
      <c r="C30" s="27">
        <v>101</v>
      </c>
      <c r="F30" s="17" t="s">
        <v>51</v>
      </c>
      <c r="G30" s="18">
        <v>1479</v>
      </c>
    </row>
    <row r="31" spans="2:14" x14ac:dyDescent="0.25">
      <c r="B31" s="17" t="s">
        <v>49</v>
      </c>
      <c r="C31" s="27">
        <v>96</v>
      </c>
      <c r="F31" s="17" t="s">
        <v>58</v>
      </c>
      <c r="G31" s="18">
        <v>2368</v>
      </c>
    </row>
    <row r="32" spans="2:14" x14ac:dyDescent="0.25">
      <c r="B32" s="17" t="s">
        <v>39</v>
      </c>
      <c r="C32" s="27">
        <v>98</v>
      </c>
      <c r="F32" s="17" t="s">
        <v>333</v>
      </c>
      <c r="G32" s="18">
        <v>7633</v>
      </c>
    </row>
    <row r="33" spans="2:3" x14ac:dyDescent="0.25">
      <c r="B33" s="17" t="s">
        <v>333</v>
      </c>
      <c r="C33" s="27">
        <v>295</v>
      </c>
    </row>
    <row r="34" spans="2:3" x14ac:dyDescent="0.25">
      <c r="C34">
        <f>GETPIVOTDATA("Subscriber ID",$B$29)</f>
        <v>295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FAA10-8B0A-43FD-9AC3-90A0FD98B9C0}">
  <sheetPr>
    <tabColor theme="6" tint="-0.249977111117893"/>
  </sheetPr>
  <dimension ref="A1:AE60"/>
  <sheetViews>
    <sheetView tabSelected="1" zoomScaleNormal="100" workbookViewId="0">
      <selection activeCell="D5" sqref="D5"/>
    </sheetView>
  </sheetViews>
  <sheetFormatPr defaultRowHeight="15" x14ac:dyDescent="0.25"/>
  <sheetData>
    <row r="1" spans="1:31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</row>
    <row r="2" spans="1:31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</row>
    <row r="3" spans="1:31" x14ac:dyDescent="0.25">
      <c r="A3" s="19"/>
      <c r="B3" s="19"/>
      <c r="C3" s="25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</row>
    <row r="4" spans="1:31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</row>
    <row r="5" spans="1:31" x14ac:dyDescent="0.25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</row>
    <row r="6" spans="1:31" x14ac:dyDescent="0.25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</row>
    <row r="7" spans="1:31" x14ac:dyDescent="0.25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</row>
    <row r="8" spans="1:31" x14ac:dyDescent="0.25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</row>
    <row r="9" spans="1:31" x14ac:dyDescent="0.25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</row>
    <row r="10" spans="1:31" x14ac:dyDescent="0.25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</row>
    <row r="11" spans="1:31" x14ac:dyDescent="0.25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22">
        <f>Cálculos!K12</f>
        <v>444</v>
      </c>
      <c r="AE11" s="19"/>
    </row>
    <row r="12" spans="1:31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</row>
    <row r="13" spans="1:31" x14ac:dyDescent="0.25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</row>
    <row r="14" spans="1:31" x14ac:dyDescent="0.25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</row>
    <row r="15" spans="1:31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</row>
    <row r="16" spans="1:31" x14ac:dyDescent="0.2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</row>
    <row r="17" spans="1:31" x14ac:dyDescent="0.2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</row>
    <row r="18" spans="1:31" x14ac:dyDescent="0.2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</row>
    <row r="19" spans="1:31" x14ac:dyDescent="0.2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</row>
    <row r="20" spans="1:31" x14ac:dyDescent="0.25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</row>
    <row r="21" spans="1:31" x14ac:dyDescent="0.25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</row>
    <row r="22" spans="1:31" x14ac:dyDescent="0.25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</row>
    <row r="23" spans="1:31" x14ac:dyDescent="0.25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</row>
    <row r="24" spans="1:31" x14ac:dyDescent="0.25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</row>
    <row r="25" spans="1:31" x14ac:dyDescent="0.2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</row>
    <row r="26" spans="1:31" x14ac:dyDescent="0.25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</row>
    <row r="27" spans="1:31" x14ac:dyDescent="0.25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</row>
    <row r="28" spans="1:31" x14ac:dyDescent="0.25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</row>
    <row r="29" spans="1:31" x14ac:dyDescent="0.25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</row>
    <row r="30" spans="1:31" x14ac:dyDescent="0.25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</row>
    <row r="31" spans="1:31" x14ac:dyDescent="0.25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</row>
    <row r="32" spans="1:31" x14ac:dyDescent="0.25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</row>
    <row r="33" spans="1:31" x14ac:dyDescent="0.25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</row>
    <row r="34" spans="1:31" x14ac:dyDescent="0.25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</row>
    <row r="35" spans="1:31" x14ac:dyDescent="0.2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</row>
    <row r="36" spans="1:31" x14ac:dyDescent="0.25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</row>
    <row r="37" spans="1:31" x14ac:dyDescent="0.25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</row>
    <row r="38" spans="1:31" x14ac:dyDescent="0.25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</row>
    <row r="39" spans="1:31" x14ac:dyDescent="0.25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</row>
    <row r="40" spans="1:31" x14ac:dyDescent="0.25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</row>
    <row r="41" spans="1:31" x14ac:dyDescent="0.25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</row>
    <row r="42" spans="1:31" x14ac:dyDescent="0.25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</row>
    <row r="43" spans="1:31" x14ac:dyDescent="0.25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</row>
    <row r="44" spans="1:31" x14ac:dyDescent="0.25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</row>
    <row r="45" spans="1:31" x14ac:dyDescent="0.2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</row>
    <row r="46" spans="1:31" x14ac:dyDescent="0.25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</row>
    <row r="47" spans="1:31" x14ac:dyDescent="0.25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</row>
    <row r="48" spans="1:31" x14ac:dyDescent="0.25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</row>
    <row r="49" spans="1:31" x14ac:dyDescent="0.25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</row>
    <row r="50" spans="1:31" x14ac:dyDescent="0.25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</row>
    <row r="51" spans="1:31" x14ac:dyDescent="0.25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</row>
    <row r="52" spans="1:31" x14ac:dyDescent="0.25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</row>
    <row r="53" spans="1:31" x14ac:dyDescent="0.25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</row>
    <row r="54" spans="1:31" x14ac:dyDescent="0.25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</row>
    <row r="55" spans="1:31" x14ac:dyDescent="0.2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</row>
    <row r="56" spans="1:31" x14ac:dyDescent="0.25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</row>
    <row r="57" spans="1:31" x14ac:dyDescent="0.25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</row>
    <row r="58" spans="1:31" x14ac:dyDescent="0.25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</row>
    <row r="59" spans="1:31" x14ac:dyDescent="0.25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</row>
    <row r="60" spans="1:31" x14ac:dyDescent="0.25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Assets</vt:lpstr>
      <vt:lpstr>Bases</vt:lpstr>
      <vt:lpstr>Perguntas de Negócios</vt:lpstr>
      <vt:lpstr>Cálculos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Adilson Corrêa</dc:creator>
  <cp:lastModifiedBy>Adilson Corrêa</cp:lastModifiedBy>
  <dcterms:created xsi:type="dcterms:W3CDTF">2026-05-01T17:56:07Z</dcterms:created>
  <dcterms:modified xsi:type="dcterms:W3CDTF">2026-05-02T06:15:54Z</dcterms:modified>
</cp:coreProperties>
</file>